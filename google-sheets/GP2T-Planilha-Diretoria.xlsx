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toria" sheetId="1" state="visible" r:id="rId1"/>
    <sheet name="Por Equipamento" sheetId="2" state="visible" r:id="rId2"/>
    <sheet name="Por Operador" sheetId="3" state="visible" r:id="rId3"/>
    <sheet name="Evolução Diária" sheetId="4" state="visible" r:id="rId4"/>
    <sheet name="Evolução Mensal" sheetId="5" state="visible" r:id="rId5"/>
    <sheet name="Frota e Manutenção" sheetId="6" state="visible" r:id="rId6"/>
    <sheet name="Resumo por Dia" sheetId="7" state="visible" r:id="rId7"/>
    <sheet name="Resumo por Equipamento" sheetId="8" state="visible" r:id="rId8"/>
    <sheet name="Resumo por Operador" sheetId="9" state="visible" r:id="rId9"/>
    <sheet name="Resumo por Mês" sheetId="10" state="visible" r:id="rId10"/>
    <sheet name="Abastecimentos" sheetId="11" state="visible" r:id="rId11"/>
    <sheet name="Viagens" sheetId="12" state="visible" r:id="rId12"/>
    <sheet name="Manutenções" sheetId="13" state="visible" r:id="rId13"/>
    <sheet name="Equipamentos" sheetId="14" state="visible" r:id="rId14"/>
    <sheet name="Operador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DD/MM/YYYY"/>
    <numFmt numFmtId="166" formatCode="#,##0&quot; L&quot;"/>
    <numFmt numFmtId="167" formatCode="#,##0.0&quot; h&quot;"/>
    <numFmt numFmtId="168" formatCode="#,##0&quot; t&quot;"/>
    <numFmt numFmtId="169" formatCode="0.00&quot; L/h&quot;"/>
    <numFmt numFmtId="170" formatCode="0.00&quot; L/t&quot;"/>
    <numFmt numFmtId="171" formatCode="0.00&quot; km/L&quot;"/>
    <numFmt numFmtId="172" formatCode="#,##0&quot; dias&quot;"/>
    <numFmt numFmtId="173" formatCode="#,##0.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4748B"/>
      <sz val="9"/>
    </font>
    <font>
      <name val="Arial"/>
      <b val="1"/>
      <color rgb="00B91C1C"/>
      <sz val="9"/>
    </font>
    <font>
      <name val="Arial"/>
      <b val="1"/>
      <color rgb="001F2937"/>
      <sz val="10"/>
    </font>
    <font>
      <name val="Arial"/>
      <b val="1"/>
      <color rgb="000000FF"/>
      <sz val="10"/>
    </font>
    <font>
      <name val="Arial"/>
      <color rgb="0064748B"/>
      <sz val="8"/>
    </font>
    <font>
      <name val="Arial"/>
      <b val="1"/>
      <color rgb="001E3A8A"/>
      <sz val="12"/>
    </font>
    <font>
      <name val="Arial"/>
      <b val="1"/>
      <color rgb="001F2937"/>
      <sz val="11"/>
    </font>
    <font>
      <name val="Arial"/>
      <b val="1"/>
      <color rgb="000F172A"/>
      <sz val="14"/>
    </font>
    <font>
      <name val="Arial"/>
      <b val="1"/>
      <color rgb="00047857"/>
      <sz val="12"/>
    </font>
    <font>
      <name val="Arial"/>
      <b val="1"/>
      <color rgb="00B91C1C"/>
      <sz val="12"/>
    </font>
    <font>
      <name val="Arial"/>
      <color rgb="001F2937"/>
      <sz val="9"/>
    </font>
    <font>
      <name val="Arial"/>
      <b val="1"/>
      <color rgb="001E3A8A"/>
      <sz val="9"/>
    </font>
    <font>
      <name val="Arial"/>
      <b val="1"/>
      <color rgb="00FFFFFF"/>
      <sz val="10"/>
    </font>
    <font>
      <name val="Arial"/>
      <b val="1"/>
      <color rgb="000F172A"/>
      <sz val="13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3B0"/>
      </patternFill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3" borderId="1" pivotButton="0" quotePrefix="0" xfId="0"/>
    <xf numFmtId="0" fontId="5" fillId="3" borderId="1" pivotButton="0" quotePrefix="0" xfId="0"/>
    <xf numFmtId="2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1" pivotButton="0" quotePrefix="0" xfId="0"/>
    <xf numFmtId="166" fontId="9" fillId="0" borderId="1" applyAlignment="1" pivotButton="0" quotePrefix="0" xfId="0">
      <alignment horizontal="left"/>
    </xf>
    <xf numFmtId="3" fontId="9" fillId="0" borderId="1" pivotButton="0" quotePrefix="0" xfId="0"/>
    <xf numFmtId="167" fontId="9" fillId="0" borderId="1" applyAlignment="1" pivotButton="0" quotePrefix="0" xfId="0">
      <alignment horizontal="left"/>
    </xf>
    <xf numFmtId="168" fontId="9" fillId="0" borderId="1" applyAlignment="1" pivotButton="0" quotePrefix="0" xfId="0">
      <alignment horizontal="left"/>
    </xf>
    <xf numFmtId="3" fontId="9" fillId="0" borderId="1" applyAlignment="1" pivotButton="0" quotePrefix="0" xfId="0">
      <alignment horizontal="left"/>
    </xf>
    <xf numFmtId="9" fontId="9" fillId="0" borderId="1" pivotButton="0" quotePrefix="0" xfId="0"/>
    <xf numFmtId="169" fontId="9" fillId="0" borderId="1" applyAlignment="1" pivotButton="0" quotePrefix="0" xfId="0">
      <alignment horizontal="left"/>
    </xf>
    <xf numFmtId="170" fontId="9" fillId="0" borderId="1" applyAlignment="1" pivotButton="0" quotePrefix="0" xfId="0">
      <alignment horizontal="left"/>
    </xf>
    <xf numFmtId="171" fontId="9" fillId="0" borderId="1" applyAlignment="1" pivotButton="0" quotePrefix="0" xfId="0">
      <alignment horizontal="left"/>
    </xf>
    <xf numFmtId="172" fontId="9" fillId="0" borderId="1" applyAlignment="1" pivotButton="0" quotePrefix="0" xfId="0">
      <alignment horizontal="left"/>
    </xf>
    <xf numFmtId="0" fontId="4" fillId="0" borderId="1" pivotButton="0" quotePrefix="0" xfId="0"/>
    <xf numFmtId="0" fontId="10" fillId="0" borderId="1" pivotButton="0" quotePrefix="0" xfId="0"/>
    <xf numFmtId="170" fontId="8" fillId="0" borderId="1" pivotButton="0" quotePrefix="0" xfId="0"/>
    <xf numFmtId="0" fontId="11" fillId="0" borderId="1" pivotButton="0" quotePrefix="0" xfId="0"/>
    <xf numFmtId="168" fontId="8" fillId="0" borderId="1" pivotButton="0" quotePrefix="0" xfId="0"/>
    <xf numFmtId="166" fontId="8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0" fillId="5" borderId="1" pivotButton="0" quotePrefix="0" xfId="0"/>
    <xf numFmtId="3" fontId="0" fillId="5" borderId="1" pivotButton="0" quotePrefix="0" xfId="0"/>
    <xf numFmtId="173" fontId="0" fillId="5" borderId="1" pivotButton="0" quotePrefix="0" xfId="0"/>
    <xf numFmtId="2" fontId="0" fillId="5" borderId="1" pivotButton="0" quotePrefix="0" xfId="0"/>
    <xf numFmtId="0" fontId="0" fillId="0" borderId="1" pivotButton="0" quotePrefix="0" xfId="0"/>
    <xf numFmtId="3" fontId="0" fillId="0" borderId="1" pivotButton="0" quotePrefix="0" xfId="0"/>
    <xf numFmtId="173" fontId="0" fillId="0" borderId="1" pivotButton="0" quotePrefix="0" xfId="0"/>
    <xf numFmtId="2" fontId="0" fillId="0" borderId="1" pivotButton="0" quotePrefix="0" xfId="0"/>
    <xf numFmtId="0" fontId="4" fillId="6" borderId="1" pivotButton="0" quotePrefix="0" xfId="0"/>
    <xf numFmtId="3" fontId="4" fillId="6" borderId="1" pivotButton="0" quotePrefix="0" xfId="0"/>
    <xf numFmtId="173" fontId="4" fillId="6" borderId="1" pivotButton="0" quotePrefix="0" xfId="0"/>
    <xf numFmtId="2" fontId="4" fillId="6" borderId="1" pivotButton="0" quotePrefix="0" xfId="0"/>
    <xf numFmtId="165" fontId="0" fillId="0" borderId="0" pivotButton="0" quotePrefix="0" xfId="0"/>
    <xf numFmtId="3" fontId="0" fillId="0" borderId="0" pivotButton="0" quotePrefix="0" xfId="0"/>
    <xf numFmtId="173" fontId="0" fillId="0" borderId="0" pivotButton="0" quotePrefix="0" xfId="0"/>
    <xf numFmtId="2" fontId="0" fillId="0" borderId="0" pivotButton="0" quotePrefix="0" xfId="0"/>
    <xf numFmtId="165" fontId="0" fillId="5" borderId="1" pivotButton="0" quotePrefix="0" xfId="0"/>
    <xf numFmtId="165" fontId="0" fillId="0" borderId="1" pivotButton="0" quotePrefix="0" xfId="0"/>
    <xf numFmtId="0" fontId="15" fillId="0" borderId="0" pivotButton="0" quotePrefix="0" xfId="0"/>
    <xf numFmtId="165" fontId="12" fillId="0" borderId="1" pivotButton="0" quotePrefix="0" xfId="0"/>
    <xf numFmtId="0" fontId="12" fillId="0" borderId="1" pivotButton="0" quotePrefix="0" xfId="0"/>
    <xf numFmtId="4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Consumo de diesel por equipamento (L)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Equipamento'!D3</f>
            </strRef>
          </tx>
          <spPr>
            <a:ln>
              <a:prstDash val="solid"/>
            </a:ln>
          </spPr>
          <cat>
            <numRef>
              <f>'Por Equipamento'!$A$4:$A$15</f>
            </numRef>
          </cat>
          <val>
            <numRef>
              <f>'Por Equipamento'!$D$4:$D$15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Consumo por tonelada movida (L/t) — quanto menor, melhor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Equipamento'!H3</f>
            </strRef>
          </tx>
          <spPr>
            <a:ln>
              <a:prstDash val="solid"/>
            </a:ln>
          </spPr>
          <cat>
            <numRef>
              <f>'Por Equipamento'!$A$4:$A$15</f>
            </numRef>
          </cat>
          <val>
            <numRef>
              <f>'Por Equipamento'!$H$4:$H$15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Produção movida por operador (t)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Operador'!F3</f>
            </strRef>
          </tx>
          <spPr>
            <a:ln>
              <a:prstDash val="solid"/>
            </a:ln>
          </spPr>
          <cat>
            <numRef>
              <f>'Por Operador'!$A$4:$A$15</f>
            </numRef>
          </cat>
          <val>
            <numRef>
              <f>'Por Operador'!$F$4:$F$15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Consumo (L) x Produção (t) por dia</a:t>
            </a:r>
          </a:p>
        </rich>
      </tx>
    </title>
    <plotArea>
      <lineChart>
        <grouping val="standard"/>
        <ser>
          <idx val="0"/>
          <order val="0"/>
          <tx>
            <strRef>
              <f>'Evolução Diária'!B3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'Evolução Diária'!$A$4:$A$43</f>
            </numRef>
          </cat>
          <val>
            <numRef>
              <f>'Evolução Diária'!$B$4:$B$43</f>
            </numRef>
          </val>
        </ser>
        <ser>
          <idx val="1"/>
          <order val="1"/>
          <tx>
            <strRef>
              <f>'Evolução Diária'!E3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'Evolução Diária'!$A$4:$A$43</f>
            </numRef>
          </cat>
          <val>
            <numRef>
              <f>'Evolução Diária'!$E$4:$E$43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Consumo por tonelada (L/t) por dia</a:t>
            </a:r>
          </a:p>
        </rich>
      </tx>
    </title>
    <plotArea>
      <lineChart>
        <grouping val="standard"/>
        <ser>
          <idx val="0"/>
          <order val="0"/>
          <tx>
            <strRef>
              <f>'Evolução Diária'!F3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'Evolução Diária'!$A$4:$A$43</f>
            </numRef>
          </cat>
          <val>
            <numRef>
              <f>'Evolução Diária'!$F$4:$F$43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Consumo mensal (L)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'Evolução Mensal'!C3</f>
            </strRef>
          </tx>
          <spPr>
            <a:ln>
              <a:prstDash val="solid"/>
            </a:ln>
          </spPr>
          <cat>
            <numRef>
              <f>'Evolução Mensal'!$A$4:$A$15</f>
            </numRef>
          </cat>
          <val>
            <numRef>
              <f>'Evolução Mensal'!$C$4:$C$15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55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14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 ht="30" customHeight="1">
      <c r="A1" s="1" t="inlineStr">
        <is>
          <t>GP2T · GESTÃO DE FROTA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Relatório da Diretoria — os números vêm do aplicativo, sem digitação.</t>
        </is>
      </c>
    </row>
    <row r="3">
      <c r="A3" s="4" t="inlineStr">
        <is>
          <t>⚠️ Este arquivo está com DADOS DE EXEMPLO (linhas com _id começando em EX-). Apague-as quando os dados reais entrarem.</t>
        </is>
      </c>
    </row>
    <row r="4">
      <c r="A4" s="5" t="inlineStr">
        <is>
          <t>Período de:</t>
        </is>
      </c>
      <c r="B4" s="6" t="n">
        <v>46235</v>
      </c>
      <c r="C4" s="5" t="inlineStr">
        <is>
          <t>até:</t>
        </is>
      </c>
      <c r="D4" s="6" t="n">
        <v>46295</v>
      </c>
      <c r="E4" s="5" t="inlineStr">
        <is>
          <t>Meta L/h:</t>
        </is>
      </c>
      <c r="F4" s="7" t="n">
        <v>20</v>
      </c>
      <c r="G4" s="5" t="inlineStr">
        <is>
          <t>Meta km/L:</t>
        </is>
      </c>
      <c r="H4" s="8" t="n">
        <v>1</v>
      </c>
    </row>
    <row r="5">
      <c r="A5" s="9" t="inlineStr">
        <is>
          <t>As células amarelas são as únicas que você edita nesta aba.</t>
        </is>
      </c>
    </row>
    <row r="6">
      <c r="A6" s="10" t="inlineStr">
        <is>
          <t>RESULTADO DO PERÍODO</t>
        </is>
      </c>
      <c r="D6" s="10" t="inlineStr">
        <is>
          <t>A FROTA</t>
        </is>
      </c>
    </row>
    <row r="7">
      <c r="A7" s="11" t="inlineStr">
        <is>
          <t>Consumo total</t>
        </is>
      </c>
      <c r="B7" s="12">
        <f>SUMIFS('Resumo por Dia'!$D$4:$D$3000,'Resumo por Dia'!$A$4:$A$3000,"&gt;="&amp;Diretoria!$B$4,'Resumo por Dia'!$A$4:$A$3000,"&lt;="&amp;Diretoria!$D$4)</f>
        <v/>
      </c>
      <c r="D7" s="11" t="inlineStr">
        <is>
          <t>Equipamentos que operaram</t>
        </is>
      </c>
      <c r="E7" s="13">
        <f>COUNTIF('Por Equipamento'!$D$4:$D$33,"&gt;0")</f>
        <v/>
      </c>
    </row>
    <row r="8">
      <c r="A8" s="11" t="inlineStr">
        <is>
          <t>Horas trabalhadas</t>
        </is>
      </c>
      <c r="B8" s="14">
        <f>SUMIFS('Resumo por Dia'!$E$4:$E$3000,'Resumo por Dia'!$A$4:$A$3000,"&gt;="&amp;Diretoria!$B$4,'Resumo por Dia'!$A$4:$A$3000,"&lt;="&amp;Diretoria!$D$4)</f>
        <v/>
      </c>
      <c r="D8" s="11" t="inlineStr">
        <is>
          <t>Operadores em atividade</t>
        </is>
      </c>
      <c r="E8" s="13">
        <f>COUNTIF('Por Operador'!$C$4:$C$33,"&gt;0")</f>
        <v/>
      </c>
    </row>
    <row r="9">
      <c r="A9" s="11" t="inlineStr">
        <is>
          <t>Produção movida</t>
        </is>
      </c>
      <c r="B9" s="15">
        <f>SUMIFS('Resumo por Dia'!$G$4:$G$3000,'Resumo por Dia'!$A$4:$A$3000,"&gt;="&amp;Diretoria!$B$4,'Resumo por Dia'!$A$4:$A$3000,"&lt;="&amp;Diretoria!$D$4)</f>
        <v/>
      </c>
      <c r="D9" s="11" t="inlineStr">
        <is>
          <t>Equipamentos cadastrados</t>
        </is>
      </c>
      <c r="E9" s="13">
        <f>COUNTA(Equipamentos!$A$4:$A$200)</f>
        <v/>
      </c>
    </row>
    <row r="10">
      <c r="A10" s="11" t="inlineStr">
        <is>
          <t>Viagens realizadas</t>
        </is>
      </c>
      <c r="B10" s="16">
        <f>SUMIFS('Resumo por Dia'!$N$4:$N$3000,'Resumo por Dia'!$A$4:$A$3000,"&gt;="&amp;Diretoria!$B$4,'Resumo por Dia'!$A$4:$A$3000,"&lt;="&amp;Diretoria!$D$4)</f>
        <v/>
      </c>
      <c r="D10" s="11" t="inlineStr">
        <is>
          <t>Disponibilidade da frota</t>
        </is>
      </c>
      <c r="E10" s="17">
        <f>IFERROR(COUNTIF(Equipamentos!$D$4:$D$200,"Operando")/COUNTA(Equipamentos!$A$4:$A$200),"—")</f>
        <v/>
      </c>
    </row>
    <row r="11">
      <c r="A11" s="11" t="inlineStr">
        <is>
          <t>Consumo por hora</t>
        </is>
      </c>
      <c r="B11" s="18">
        <f>IFERROR(B7/B8,"—")</f>
        <v/>
      </c>
      <c r="D11" s="11" t="inlineStr">
        <is>
          <t>Manutenções no período</t>
        </is>
      </c>
      <c r="E11" s="13">
        <f>SUMIFS('Resumo por Dia'!$O$4:$O$3000,'Resumo por Dia'!$A$4:$A$3000,"&gt;="&amp;Diretoria!$B$4,'Resumo por Dia'!$A$4:$A$3000,"&lt;="&amp;Diretoria!$D$4)</f>
        <v/>
      </c>
    </row>
    <row r="12">
      <c r="A12" s="11" t="inlineStr">
        <is>
          <t>Consumo por tonelada</t>
        </is>
      </c>
      <c r="B12" s="19">
        <f>IFERROR(B7/B9,"—")</f>
        <v/>
      </c>
      <c r="D12" s="11" t="inlineStr">
        <is>
          <t>Acima da meta de L/h</t>
        </is>
      </c>
      <c r="E12" s="13">
        <f>COUNTIF('Por Equipamento'!$F$4:$F$33,"&gt;"&amp;$F$4)</f>
        <v/>
      </c>
    </row>
    <row r="13">
      <c r="A13" s="11" t="inlineStr">
        <is>
          <t>Média da frota</t>
        </is>
      </c>
      <c r="B13" s="20">
        <f>IFERROR(SUMIFS('Resumo por Dia'!$L$4:$L$3000,'Resumo por Dia'!$A$4:$A$3000,"&gt;="&amp;Diretoria!$B$4,'Resumo por Dia'!$A$4:$A$3000,"&lt;="&amp;Diretoria!$D$4)/B7,"—")</f>
        <v/>
      </c>
    </row>
    <row r="14">
      <c r="A14" s="11" t="inlineStr">
        <is>
          <t>Dias com operação</t>
        </is>
      </c>
      <c r="B14" s="21">
        <f>COUNTIFS('Resumo por Dia'!$A$4:$A$3000,"&gt;="&amp;Diretoria!$B$4,'Resumo por Dia'!$A$4:$A$3000,"&lt;="&amp;Diretoria!$D$4)</f>
        <v/>
      </c>
    </row>
    <row r="16">
      <c r="A16" s="10" t="inlineStr">
        <is>
          <t>DESTAQUES</t>
        </is>
      </c>
    </row>
    <row r="17">
      <c r="A17" s="22" t="inlineStr">
        <is>
          <t>Menor consumo por tonelada</t>
        </is>
      </c>
      <c r="B17" s="23">
        <f>IFERROR(INDEX('Por Equipamento'!$A$4:$A$33,MATCH(MIN('Por Equipamento'!$H$4:$H$33),'Por Equipamento'!$H$4:$H$33,0)),"—")</f>
        <v/>
      </c>
      <c r="C17" s="24">
        <f>IFERROR(MIN('Por Equipamento'!$H$4:$H$33),"—")</f>
        <v/>
      </c>
    </row>
    <row r="18">
      <c r="A18" s="22" t="inlineStr">
        <is>
          <t>Maior consumo por tonelada</t>
        </is>
      </c>
      <c r="B18" s="25">
        <f>IFERROR(INDEX('Por Equipamento'!$A$4:$A$33,MATCH(MAX('Por Equipamento'!$H$4:$H$33),'Por Equipamento'!$H$4:$H$33,0)),"—")</f>
        <v/>
      </c>
      <c r="C18" s="24">
        <f>IFERROR(MAX('Por Equipamento'!$H$4:$H$33),"—")</f>
        <v/>
      </c>
    </row>
    <row r="19">
      <c r="A19" s="22" t="inlineStr">
        <is>
          <t>Operador com mais produção</t>
        </is>
      </c>
      <c r="B19" s="23">
        <f>IFERROR(INDEX('Por Operador'!$A$4:$A$33,MATCH(MAX('Por Operador'!$F$4:$F$33),'Por Operador'!$F$4:$F$33,0)),"—")</f>
        <v/>
      </c>
      <c r="C19" s="26">
        <f>IFERROR(MAX('Por Operador'!$F$4:$F$33),"—")</f>
        <v/>
      </c>
    </row>
    <row r="20">
      <c r="A20" s="22" t="inlineStr">
        <is>
          <t>Equipamento que mais consumiu</t>
        </is>
      </c>
      <c r="B20" s="25">
        <f>IFERROR(INDEX('Por Equipamento'!$A$4:$A$33,MATCH(MAX('Por Equipamento'!$D$4:$D$33),'Por Equipamento'!$D$4:$D$33,0)),"—")</f>
        <v/>
      </c>
      <c r="C20" s="27">
        <f>IFERROR(MAX('Por Equipamento'!$D$4:$D$33),"—")</f>
        <v/>
      </c>
    </row>
    <row r="23">
      <c r="A23" s="10" t="inlineStr">
        <is>
          <t>COMO ESTA PLANILHA SE MANTÉM ATUALIZADA</t>
        </is>
      </c>
    </row>
    <row r="24">
      <c r="A24" s="28" t="inlineStr">
        <is>
          <t>1. Suba este arquivo no Google Drive e abra como Planilhas Google (o app não escreve em .xlsx).</t>
        </is>
      </c>
    </row>
    <row r="25">
      <c r="A25" s="28" t="inlineStr">
        <is>
          <t>2. No Apps Script do app, coloque o link desta planilha em PLANILHA_URL e faça Implantar → Nova versão.</t>
        </is>
      </c>
    </row>
    <row r="26">
      <c r="A26" s="28" t="inlineStr">
        <is>
          <t>3. No aplicativo: ⚙️ Configurações → 🔄 Sincronizar tudo.</t>
        </is>
      </c>
    </row>
    <row r="27">
      <c r="A27" s="28" t="inlineStr">
        <is>
          <t>4. Apague as linhas de exemplo (coluna _id começando com EX-) nas abas de dados.</t>
        </is>
      </c>
    </row>
    <row r="28">
      <c r="A28" s="28" t="inlineStr"/>
    </row>
    <row r="29">
      <c r="A29" s="29" t="inlineStr">
        <is>
          <t>As abas cinzas (Resumo por Dia, Abastecimentos, Viagens…) são preenchidas pelo aplicativo a cada lançamento.</t>
        </is>
      </c>
    </row>
    <row r="30">
      <c r="A30" s="29" t="inlineStr">
        <is>
          <t>As abas azuis são só apresentação: leem as abas cinzas e não recalculam nada por conta própria —</t>
        </is>
      </c>
    </row>
    <row r="31">
      <c r="A31" s="29" t="inlineStr">
        <is>
          <t>por isso os números aqui são sempre iguais aos que aparecem no celular.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3" customWidth="1" min="4" max="4"/>
    <col width="10" customWidth="1" min="5" max="5"/>
    <col width="10" customWidth="1" min="6" max="6"/>
    <col width="13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 ht="30" customHeight="1">
      <c r="A1" s="1" t="inlineStr">
        <is>
          <t>DESEMPENHO POR EQUIPAMENTO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Período definido na aba Diretoria. Fonte: aba Resumo por Equipamento (preenchida pelo app).</t>
        </is>
      </c>
    </row>
    <row r="3" ht="30" customHeight="1">
      <c r="A3" s="30" t="inlineStr">
        <is>
          <t>Equipamento</t>
        </is>
      </c>
      <c r="B3" s="30" t="inlineStr">
        <is>
          <t>Tipo</t>
        </is>
      </c>
      <c r="C3" s="30" t="inlineStr">
        <is>
          <t>Dias operados</t>
        </is>
      </c>
      <c r="D3" s="30" t="inlineStr">
        <is>
          <t>Consumo (L)</t>
        </is>
      </c>
      <c r="E3" s="30" t="inlineStr">
        <is>
          <t>Horas</t>
        </is>
      </c>
      <c r="F3" s="30" t="inlineStr">
        <is>
          <t>L/h</t>
        </is>
      </c>
      <c r="G3" s="30" t="inlineStr">
        <is>
          <t>Produção (t)</t>
        </is>
      </c>
      <c r="H3" s="30" t="inlineStr">
        <is>
          <t>L/Ton</t>
        </is>
      </c>
      <c r="I3" s="30" t="inlineStr">
        <is>
          <t>KM rodado</t>
        </is>
      </c>
      <c r="J3" s="30" t="inlineStr">
        <is>
          <t>Média km/L</t>
        </is>
      </c>
      <c r="K3" s="30" t="inlineStr">
        <is>
          <t>Viagens</t>
        </is>
      </c>
    </row>
    <row r="4">
      <c r="A4" s="31">
        <f>IF(Equipamentos!$A4="","",Equipamentos!$A4)</f>
        <v/>
      </c>
      <c r="B4" s="32">
        <f>IF(Equipamentos!$A4="","",Equipamentos!$B4)</f>
        <v/>
      </c>
      <c r="C4" s="33">
        <f>IF(Equipamentos!$A4="","",COUNTIFS('Resumo por Equipamento'!$B$4:$B$3000,$A4,'Resumo por Equipamento'!$A$4:$A$3000,"&gt;="&amp;Diretoria!$B$4,'Resumo por Equipamento'!$A$4:$A$3000,"&lt;="&amp;Diretoria!$D$4,'Resumo por Equipamento'!$C$4:$C$3000,"&gt;0"))</f>
        <v/>
      </c>
      <c r="D4" s="33">
        <f>IF(Equipamentos!$A4="","",SUMIFS('Resumo por Equipamento'!$C$4:$C$3000,'Resumo por Equipamento'!$B$4:$B$3000,$A4,'Resumo por Equipamento'!$A$4:$A$3000,"&gt;="&amp;Diretoria!$B$4,'Resumo por Equipamento'!$A$4:$A$3000,"&lt;="&amp;Diretoria!$D$4))</f>
        <v/>
      </c>
      <c r="E4" s="34">
        <f>IF(Equipamentos!$A4="","",SUMIFS('Resumo por Equipamento'!$D$4:$D$3000,'Resumo por Equipamento'!$B$4:$B$3000,$A4,'Resumo por Equipamento'!$A$4:$A$3000,"&gt;="&amp;Diretoria!$B$4,'Resumo por Equipamento'!$A$4:$A$3000,"&lt;="&amp;Diretoria!$D$4))</f>
        <v/>
      </c>
      <c r="F4" s="35">
        <f>IF(Equipamentos!$A4="","",IFERROR(IF(E4=0,"—",D4/E4),"—"))</f>
        <v/>
      </c>
      <c r="G4" s="33">
        <f>IF(Equipamentos!$A4="","",SUMIFS('Resumo por Equipamento'!$F$4:$F$3000,'Resumo por Equipamento'!$B$4:$B$3000,$A4,'Resumo por Equipamento'!$A$4:$A$3000,"&gt;="&amp;Diretoria!$B$4,'Resumo por Equipamento'!$A$4:$A$3000,"&lt;="&amp;Diretoria!$D$4))</f>
        <v/>
      </c>
      <c r="H4" s="35">
        <f>IF(Equipamentos!$A4="","",IFERROR(IF(G4=0,"—",D4/G4),"—"))</f>
        <v/>
      </c>
      <c r="I4" s="33">
        <f>IF(Equipamentos!$A4="","",SUMIFS('Resumo por Equipamento'!$H$4:$H$3000,'Resumo por Equipamento'!$B$4:$B$3000,$A4,'Resumo por Equipamento'!$A$4:$A$3000,"&gt;="&amp;Diretoria!$B$4,'Resumo por Equipamento'!$A$4:$A$3000,"&lt;="&amp;Diretoria!$D$4))</f>
        <v/>
      </c>
      <c r="J4" s="35">
        <f>IF(Equipamentos!$A4="","",IFERROR(IF(OR(D4=0,I4=0),"—",I4/D4),"—"))</f>
        <v/>
      </c>
      <c r="K4" s="33">
        <f>IF(Equipamentos!$A4="","",SUMIFS('Resumo por Equipamento'!$J$4:$J$3000,'Resumo por Equipamento'!$B$4:$B$3000,$A4,'Resumo por Equipamento'!$A$4:$A$3000,"&gt;="&amp;Diretoria!$B$4,'Resumo por Equipamento'!$A$4:$A$3000,"&lt;="&amp;Diretoria!$D$4))</f>
        <v/>
      </c>
    </row>
    <row r="5">
      <c r="A5" s="22">
        <f>IF(Equipamentos!$A5="","",Equipamentos!$A5)</f>
        <v/>
      </c>
      <c r="B5" s="36">
        <f>IF(Equipamentos!$A5="","",Equipamentos!$B5)</f>
        <v/>
      </c>
      <c r="C5" s="37">
        <f>IF(Equipamentos!$A5="","",COUNTIFS('Resumo por Equipamento'!$B$4:$B$3000,$A5,'Resumo por Equipamento'!$A$4:$A$3000,"&gt;="&amp;Diretoria!$B$4,'Resumo por Equipamento'!$A$4:$A$3000,"&lt;="&amp;Diretoria!$D$4,'Resumo por Equipamento'!$C$4:$C$3000,"&gt;0"))</f>
        <v/>
      </c>
      <c r="D5" s="37">
        <f>IF(Equipamentos!$A5="","",SUMIFS('Resumo por Equipamento'!$C$4:$C$3000,'Resumo por Equipamento'!$B$4:$B$3000,$A5,'Resumo por Equipamento'!$A$4:$A$3000,"&gt;="&amp;Diretoria!$B$4,'Resumo por Equipamento'!$A$4:$A$3000,"&lt;="&amp;Diretoria!$D$4))</f>
        <v/>
      </c>
      <c r="E5" s="38">
        <f>IF(Equipamentos!$A5="","",SUMIFS('Resumo por Equipamento'!$D$4:$D$3000,'Resumo por Equipamento'!$B$4:$B$3000,$A5,'Resumo por Equipamento'!$A$4:$A$3000,"&gt;="&amp;Diretoria!$B$4,'Resumo por Equipamento'!$A$4:$A$3000,"&lt;="&amp;Diretoria!$D$4))</f>
        <v/>
      </c>
      <c r="F5" s="39">
        <f>IF(Equipamentos!$A5="","",IFERROR(IF(E5=0,"—",D5/E5),"—"))</f>
        <v/>
      </c>
      <c r="G5" s="37">
        <f>IF(Equipamentos!$A5="","",SUMIFS('Resumo por Equipamento'!$F$4:$F$3000,'Resumo por Equipamento'!$B$4:$B$3000,$A5,'Resumo por Equipamento'!$A$4:$A$3000,"&gt;="&amp;Diretoria!$B$4,'Resumo por Equipamento'!$A$4:$A$3000,"&lt;="&amp;Diretoria!$D$4))</f>
        <v/>
      </c>
      <c r="H5" s="39">
        <f>IF(Equipamentos!$A5="","",IFERROR(IF(G5=0,"—",D5/G5),"—"))</f>
        <v/>
      </c>
      <c r="I5" s="37">
        <f>IF(Equipamentos!$A5="","",SUMIFS('Resumo por Equipamento'!$H$4:$H$3000,'Resumo por Equipamento'!$B$4:$B$3000,$A5,'Resumo por Equipamento'!$A$4:$A$3000,"&gt;="&amp;Diretoria!$B$4,'Resumo por Equipamento'!$A$4:$A$3000,"&lt;="&amp;Diretoria!$D$4))</f>
        <v/>
      </c>
      <c r="J5" s="39">
        <f>IF(Equipamentos!$A5="","",IFERROR(IF(OR(D5=0,I5=0),"—",I5/D5),"—"))</f>
        <v/>
      </c>
      <c r="K5" s="37">
        <f>IF(Equipamentos!$A5="","",SUMIFS('Resumo por Equipamento'!$J$4:$J$3000,'Resumo por Equipamento'!$B$4:$B$3000,$A5,'Resumo por Equipamento'!$A$4:$A$3000,"&gt;="&amp;Diretoria!$B$4,'Resumo por Equipamento'!$A$4:$A$3000,"&lt;="&amp;Diretoria!$D$4))</f>
        <v/>
      </c>
    </row>
    <row r="6">
      <c r="A6" s="31">
        <f>IF(Equipamentos!$A6="","",Equipamentos!$A6)</f>
        <v/>
      </c>
      <c r="B6" s="32">
        <f>IF(Equipamentos!$A6="","",Equipamentos!$B6)</f>
        <v/>
      </c>
      <c r="C6" s="33">
        <f>IF(Equipamentos!$A6="","",COUNTIFS('Resumo por Equipamento'!$B$4:$B$3000,$A6,'Resumo por Equipamento'!$A$4:$A$3000,"&gt;="&amp;Diretoria!$B$4,'Resumo por Equipamento'!$A$4:$A$3000,"&lt;="&amp;Diretoria!$D$4,'Resumo por Equipamento'!$C$4:$C$3000,"&gt;0"))</f>
        <v/>
      </c>
      <c r="D6" s="33">
        <f>IF(Equipamentos!$A6="","",SUMIFS('Resumo por Equipamento'!$C$4:$C$3000,'Resumo por Equipamento'!$B$4:$B$3000,$A6,'Resumo por Equipamento'!$A$4:$A$3000,"&gt;="&amp;Diretoria!$B$4,'Resumo por Equipamento'!$A$4:$A$3000,"&lt;="&amp;Diretoria!$D$4))</f>
        <v/>
      </c>
      <c r="E6" s="34">
        <f>IF(Equipamentos!$A6="","",SUMIFS('Resumo por Equipamento'!$D$4:$D$3000,'Resumo por Equipamento'!$B$4:$B$3000,$A6,'Resumo por Equipamento'!$A$4:$A$3000,"&gt;="&amp;Diretoria!$B$4,'Resumo por Equipamento'!$A$4:$A$3000,"&lt;="&amp;Diretoria!$D$4))</f>
        <v/>
      </c>
      <c r="F6" s="35">
        <f>IF(Equipamentos!$A6="","",IFERROR(IF(E6=0,"—",D6/E6),"—"))</f>
        <v/>
      </c>
      <c r="G6" s="33">
        <f>IF(Equipamentos!$A6="","",SUMIFS('Resumo por Equipamento'!$F$4:$F$3000,'Resumo por Equipamento'!$B$4:$B$3000,$A6,'Resumo por Equipamento'!$A$4:$A$3000,"&gt;="&amp;Diretoria!$B$4,'Resumo por Equipamento'!$A$4:$A$3000,"&lt;="&amp;Diretoria!$D$4))</f>
        <v/>
      </c>
      <c r="H6" s="35">
        <f>IF(Equipamentos!$A6="","",IFERROR(IF(G6=0,"—",D6/G6),"—"))</f>
        <v/>
      </c>
      <c r="I6" s="33">
        <f>IF(Equipamentos!$A6="","",SUMIFS('Resumo por Equipamento'!$H$4:$H$3000,'Resumo por Equipamento'!$B$4:$B$3000,$A6,'Resumo por Equipamento'!$A$4:$A$3000,"&gt;="&amp;Diretoria!$B$4,'Resumo por Equipamento'!$A$4:$A$3000,"&lt;="&amp;Diretoria!$D$4))</f>
        <v/>
      </c>
      <c r="J6" s="35">
        <f>IF(Equipamentos!$A6="","",IFERROR(IF(OR(D6=0,I6=0),"—",I6/D6),"—"))</f>
        <v/>
      </c>
      <c r="K6" s="33">
        <f>IF(Equipamentos!$A6="","",SUMIFS('Resumo por Equipamento'!$J$4:$J$3000,'Resumo por Equipamento'!$B$4:$B$3000,$A6,'Resumo por Equipamento'!$A$4:$A$3000,"&gt;="&amp;Diretoria!$B$4,'Resumo por Equipamento'!$A$4:$A$3000,"&lt;="&amp;Diretoria!$D$4))</f>
        <v/>
      </c>
    </row>
    <row r="7">
      <c r="A7" s="22">
        <f>IF(Equipamentos!$A7="","",Equipamentos!$A7)</f>
        <v/>
      </c>
      <c r="B7" s="36">
        <f>IF(Equipamentos!$A7="","",Equipamentos!$B7)</f>
        <v/>
      </c>
      <c r="C7" s="37">
        <f>IF(Equipamentos!$A7="","",COUNTIFS('Resumo por Equipamento'!$B$4:$B$3000,$A7,'Resumo por Equipamento'!$A$4:$A$3000,"&gt;="&amp;Diretoria!$B$4,'Resumo por Equipamento'!$A$4:$A$3000,"&lt;="&amp;Diretoria!$D$4,'Resumo por Equipamento'!$C$4:$C$3000,"&gt;0"))</f>
        <v/>
      </c>
      <c r="D7" s="37">
        <f>IF(Equipamentos!$A7="","",SUMIFS('Resumo por Equipamento'!$C$4:$C$3000,'Resumo por Equipamento'!$B$4:$B$3000,$A7,'Resumo por Equipamento'!$A$4:$A$3000,"&gt;="&amp;Diretoria!$B$4,'Resumo por Equipamento'!$A$4:$A$3000,"&lt;="&amp;Diretoria!$D$4))</f>
        <v/>
      </c>
      <c r="E7" s="38">
        <f>IF(Equipamentos!$A7="","",SUMIFS('Resumo por Equipamento'!$D$4:$D$3000,'Resumo por Equipamento'!$B$4:$B$3000,$A7,'Resumo por Equipamento'!$A$4:$A$3000,"&gt;="&amp;Diretoria!$B$4,'Resumo por Equipamento'!$A$4:$A$3000,"&lt;="&amp;Diretoria!$D$4))</f>
        <v/>
      </c>
      <c r="F7" s="39">
        <f>IF(Equipamentos!$A7="","",IFERROR(IF(E7=0,"—",D7/E7),"—"))</f>
        <v/>
      </c>
      <c r="G7" s="37">
        <f>IF(Equipamentos!$A7="","",SUMIFS('Resumo por Equipamento'!$F$4:$F$3000,'Resumo por Equipamento'!$B$4:$B$3000,$A7,'Resumo por Equipamento'!$A$4:$A$3000,"&gt;="&amp;Diretoria!$B$4,'Resumo por Equipamento'!$A$4:$A$3000,"&lt;="&amp;Diretoria!$D$4))</f>
        <v/>
      </c>
      <c r="H7" s="39">
        <f>IF(Equipamentos!$A7="","",IFERROR(IF(G7=0,"—",D7/G7),"—"))</f>
        <v/>
      </c>
      <c r="I7" s="37">
        <f>IF(Equipamentos!$A7="","",SUMIFS('Resumo por Equipamento'!$H$4:$H$3000,'Resumo por Equipamento'!$B$4:$B$3000,$A7,'Resumo por Equipamento'!$A$4:$A$3000,"&gt;="&amp;Diretoria!$B$4,'Resumo por Equipamento'!$A$4:$A$3000,"&lt;="&amp;Diretoria!$D$4))</f>
        <v/>
      </c>
      <c r="J7" s="39">
        <f>IF(Equipamentos!$A7="","",IFERROR(IF(OR(D7=0,I7=0),"—",I7/D7),"—"))</f>
        <v/>
      </c>
      <c r="K7" s="37">
        <f>IF(Equipamentos!$A7="","",SUMIFS('Resumo por Equipamento'!$J$4:$J$3000,'Resumo por Equipamento'!$B$4:$B$3000,$A7,'Resumo por Equipamento'!$A$4:$A$3000,"&gt;="&amp;Diretoria!$B$4,'Resumo por Equipamento'!$A$4:$A$3000,"&lt;="&amp;Diretoria!$D$4))</f>
        <v/>
      </c>
    </row>
    <row r="8">
      <c r="A8" s="31">
        <f>IF(Equipamentos!$A8="","",Equipamentos!$A8)</f>
        <v/>
      </c>
      <c r="B8" s="32">
        <f>IF(Equipamentos!$A8="","",Equipamentos!$B8)</f>
        <v/>
      </c>
      <c r="C8" s="33">
        <f>IF(Equipamentos!$A8="","",COUNTIFS('Resumo por Equipamento'!$B$4:$B$3000,$A8,'Resumo por Equipamento'!$A$4:$A$3000,"&gt;="&amp;Diretoria!$B$4,'Resumo por Equipamento'!$A$4:$A$3000,"&lt;="&amp;Diretoria!$D$4,'Resumo por Equipamento'!$C$4:$C$3000,"&gt;0"))</f>
        <v/>
      </c>
      <c r="D8" s="33">
        <f>IF(Equipamentos!$A8="","",SUMIFS('Resumo por Equipamento'!$C$4:$C$3000,'Resumo por Equipamento'!$B$4:$B$3000,$A8,'Resumo por Equipamento'!$A$4:$A$3000,"&gt;="&amp;Diretoria!$B$4,'Resumo por Equipamento'!$A$4:$A$3000,"&lt;="&amp;Diretoria!$D$4))</f>
        <v/>
      </c>
      <c r="E8" s="34">
        <f>IF(Equipamentos!$A8="","",SUMIFS('Resumo por Equipamento'!$D$4:$D$3000,'Resumo por Equipamento'!$B$4:$B$3000,$A8,'Resumo por Equipamento'!$A$4:$A$3000,"&gt;="&amp;Diretoria!$B$4,'Resumo por Equipamento'!$A$4:$A$3000,"&lt;="&amp;Diretoria!$D$4))</f>
        <v/>
      </c>
      <c r="F8" s="35">
        <f>IF(Equipamentos!$A8="","",IFERROR(IF(E8=0,"—",D8/E8),"—"))</f>
        <v/>
      </c>
      <c r="G8" s="33">
        <f>IF(Equipamentos!$A8="","",SUMIFS('Resumo por Equipamento'!$F$4:$F$3000,'Resumo por Equipamento'!$B$4:$B$3000,$A8,'Resumo por Equipamento'!$A$4:$A$3000,"&gt;="&amp;Diretoria!$B$4,'Resumo por Equipamento'!$A$4:$A$3000,"&lt;="&amp;Diretoria!$D$4))</f>
        <v/>
      </c>
      <c r="H8" s="35">
        <f>IF(Equipamentos!$A8="","",IFERROR(IF(G8=0,"—",D8/G8),"—"))</f>
        <v/>
      </c>
      <c r="I8" s="33">
        <f>IF(Equipamentos!$A8="","",SUMIFS('Resumo por Equipamento'!$H$4:$H$3000,'Resumo por Equipamento'!$B$4:$B$3000,$A8,'Resumo por Equipamento'!$A$4:$A$3000,"&gt;="&amp;Diretoria!$B$4,'Resumo por Equipamento'!$A$4:$A$3000,"&lt;="&amp;Diretoria!$D$4))</f>
        <v/>
      </c>
      <c r="J8" s="35">
        <f>IF(Equipamentos!$A8="","",IFERROR(IF(OR(D8=0,I8=0),"—",I8/D8),"—"))</f>
        <v/>
      </c>
      <c r="K8" s="33">
        <f>IF(Equipamentos!$A8="","",SUMIFS('Resumo por Equipamento'!$J$4:$J$3000,'Resumo por Equipamento'!$B$4:$B$3000,$A8,'Resumo por Equipamento'!$A$4:$A$3000,"&gt;="&amp;Diretoria!$B$4,'Resumo por Equipamento'!$A$4:$A$3000,"&lt;="&amp;Diretoria!$D$4))</f>
        <v/>
      </c>
    </row>
    <row r="9">
      <c r="A9" s="22">
        <f>IF(Equipamentos!$A9="","",Equipamentos!$A9)</f>
        <v/>
      </c>
      <c r="B9" s="36">
        <f>IF(Equipamentos!$A9="","",Equipamentos!$B9)</f>
        <v/>
      </c>
      <c r="C9" s="37">
        <f>IF(Equipamentos!$A9="","",COUNTIFS('Resumo por Equipamento'!$B$4:$B$3000,$A9,'Resumo por Equipamento'!$A$4:$A$3000,"&gt;="&amp;Diretoria!$B$4,'Resumo por Equipamento'!$A$4:$A$3000,"&lt;="&amp;Diretoria!$D$4,'Resumo por Equipamento'!$C$4:$C$3000,"&gt;0"))</f>
        <v/>
      </c>
      <c r="D9" s="37">
        <f>IF(Equipamentos!$A9="","",SUMIFS('Resumo por Equipamento'!$C$4:$C$3000,'Resumo por Equipamento'!$B$4:$B$3000,$A9,'Resumo por Equipamento'!$A$4:$A$3000,"&gt;="&amp;Diretoria!$B$4,'Resumo por Equipamento'!$A$4:$A$3000,"&lt;="&amp;Diretoria!$D$4))</f>
        <v/>
      </c>
      <c r="E9" s="38">
        <f>IF(Equipamentos!$A9="","",SUMIFS('Resumo por Equipamento'!$D$4:$D$3000,'Resumo por Equipamento'!$B$4:$B$3000,$A9,'Resumo por Equipamento'!$A$4:$A$3000,"&gt;="&amp;Diretoria!$B$4,'Resumo por Equipamento'!$A$4:$A$3000,"&lt;="&amp;Diretoria!$D$4))</f>
        <v/>
      </c>
      <c r="F9" s="39">
        <f>IF(Equipamentos!$A9="","",IFERROR(IF(E9=0,"—",D9/E9),"—"))</f>
        <v/>
      </c>
      <c r="G9" s="37">
        <f>IF(Equipamentos!$A9="","",SUMIFS('Resumo por Equipamento'!$F$4:$F$3000,'Resumo por Equipamento'!$B$4:$B$3000,$A9,'Resumo por Equipamento'!$A$4:$A$3000,"&gt;="&amp;Diretoria!$B$4,'Resumo por Equipamento'!$A$4:$A$3000,"&lt;="&amp;Diretoria!$D$4))</f>
        <v/>
      </c>
      <c r="H9" s="39">
        <f>IF(Equipamentos!$A9="","",IFERROR(IF(G9=0,"—",D9/G9),"—"))</f>
        <v/>
      </c>
      <c r="I9" s="37">
        <f>IF(Equipamentos!$A9="","",SUMIFS('Resumo por Equipamento'!$H$4:$H$3000,'Resumo por Equipamento'!$B$4:$B$3000,$A9,'Resumo por Equipamento'!$A$4:$A$3000,"&gt;="&amp;Diretoria!$B$4,'Resumo por Equipamento'!$A$4:$A$3000,"&lt;="&amp;Diretoria!$D$4))</f>
        <v/>
      </c>
      <c r="J9" s="39">
        <f>IF(Equipamentos!$A9="","",IFERROR(IF(OR(D9=0,I9=0),"—",I9/D9),"—"))</f>
        <v/>
      </c>
      <c r="K9" s="37">
        <f>IF(Equipamentos!$A9="","",SUMIFS('Resumo por Equipamento'!$J$4:$J$3000,'Resumo por Equipamento'!$B$4:$B$3000,$A9,'Resumo por Equipamento'!$A$4:$A$3000,"&gt;="&amp;Diretoria!$B$4,'Resumo por Equipamento'!$A$4:$A$3000,"&lt;="&amp;Diretoria!$D$4))</f>
        <v/>
      </c>
    </row>
    <row r="10">
      <c r="A10" s="31">
        <f>IF(Equipamentos!$A10="","",Equipamentos!$A10)</f>
        <v/>
      </c>
      <c r="B10" s="32">
        <f>IF(Equipamentos!$A10="","",Equipamentos!$B10)</f>
        <v/>
      </c>
      <c r="C10" s="33">
        <f>IF(Equipamentos!$A10="","",COUNTIFS('Resumo por Equipamento'!$B$4:$B$3000,$A10,'Resumo por Equipamento'!$A$4:$A$3000,"&gt;="&amp;Diretoria!$B$4,'Resumo por Equipamento'!$A$4:$A$3000,"&lt;="&amp;Diretoria!$D$4,'Resumo por Equipamento'!$C$4:$C$3000,"&gt;0"))</f>
        <v/>
      </c>
      <c r="D10" s="33">
        <f>IF(Equipamentos!$A10="","",SUMIFS('Resumo por Equipamento'!$C$4:$C$3000,'Resumo por Equipamento'!$B$4:$B$3000,$A10,'Resumo por Equipamento'!$A$4:$A$3000,"&gt;="&amp;Diretoria!$B$4,'Resumo por Equipamento'!$A$4:$A$3000,"&lt;="&amp;Diretoria!$D$4))</f>
        <v/>
      </c>
      <c r="E10" s="34">
        <f>IF(Equipamentos!$A10="","",SUMIFS('Resumo por Equipamento'!$D$4:$D$3000,'Resumo por Equipamento'!$B$4:$B$3000,$A10,'Resumo por Equipamento'!$A$4:$A$3000,"&gt;="&amp;Diretoria!$B$4,'Resumo por Equipamento'!$A$4:$A$3000,"&lt;="&amp;Diretoria!$D$4))</f>
        <v/>
      </c>
      <c r="F10" s="35">
        <f>IF(Equipamentos!$A10="","",IFERROR(IF(E10=0,"—",D10/E10),"—"))</f>
        <v/>
      </c>
      <c r="G10" s="33">
        <f>IF(Equipamentos!$A10="","",SUMIFS('Resumo por Equipamento'!$F$4:$F$3000,'Resumo por Equipamento'!$B$4:$B$3000,$A10,'Resumo por Equipamento'!$A$4:$A$3000,"&gt;="&amp;Diretoria!$B$4,'Resumo por Equipamento'!$A$4:$A$3000,"&lt;="&amp;Diretoria!$D$4))</f>
        <v/>
      </c>
      <c r="H10" s="35">
        <f>IF(Equipamentos!$A10="","",IFERROR(IF(G10=0,"—",D10/G10),"—"))</f>
        <v/>
      </c>
      <c r="I10" s="33">
        <f>IF(Equipamentos!$A10="","",SUMIFS('Resumo por Equipamento'!$H$4:$H$3000,'Resumo por Equipamento'!$B$4:$B$3000,$A10,'Resumo por Equipamento'!$A$4:$A$3000,"&gt;="&amp;Diretoria!$B$4,'Resumo por Equipamento'!$A$4:$A$3000,"&lt;="&amp;Diretoria!$D$4))</f>
        <v/>
      </c>
      <c r="J10" s="35">
        <f>IF(Equipamentos!$A10="","",IFERROR(IF(OR(D10=0,I10=0),"—",I10/D10),"—"))</f>
        <v/>
      </c>
      <c r="K10" s="33">
        <f>IF(Equipamentos!$A10="","",SUMIFS('Resumo por Equipamento'!$J$4:$J$3000,'Resumo por Equipamento'!$B$4:$B$3000,$A10,'Resumo por Equipamento'!$A$4:$A$3000,"&gt;="&amp;Diretoria!$B$4,'Resumo por Equipamento'!$A$4:$A$3000,"&lt;="&amp;Diretoria!$D$4))</f>
        <v/>
      </c>
    </row>
    <row r="11">
      <c r="A11" s="22">
        <f>IF(Equipamentos!$A11="","",Equipamentos!$A11)</f>
        <v/>
      </c>
      <c r="B11" s="36">
        <f>IF(Equipamentos!$A11="","",Equipamentos!$B11)</f>
        <v/>
      </c>
      <c r="C11" s="37">
        <f>IF(Equipamentos!$A11="","",COUNTIFS('Resumo por Equipamento'!$B$4:$B$3000,$A11,'Resumo por Equipamento'!$A$4:$A$3000,"&gt;="&amp;Diretoria!$B$4,'Resumo por Equipamento'!$A$4:$A$3000,"&lt;="&amp;Diretoria!$D$4,'Resumo por Equipamento'!$C$4:$C$3000,"&gt;0"))</f>
        <v/>
      </c>
      <c r="D11" s="37">
        <f>IF(Equipamentos!$A11="","",SUMIFS('Resumo por Equipamento'!$C$4:$C$3000,'Resumo por Equipamento'!$B$4:$B$3000,$A11,'Resumo por Equipamento'!$A$4:$A$3000,"&gt;="&amp;Diretoria!$B$4,'Resumo por Equipamento'!$A$4:$A$3000,"&lt;="&amp;Diretoria!$D$4))</f>
        <v/>
      </c>
      <c r="E11" s="38">
        <f>IF(Equipamentos!$A11="","",SUMIFS('Resumo por Equipamento'!$D$4:$D$3000,'Resumo por Equipamento'!$B$4:$B$3000,$A11,'Resumo por Equipamento'!$A$4:$A$3000,"&gt;="&amp;Diretoria!$B$4,'Resumo por Equipamento'!$A$4:$A$3000,"&lt;="&amp;Diretoria!$D$4))</f>
        <v/>
      </c>
      <c r="F11" s="39">
        <f>IF(Equipamentos!$A11="","",IFERROR(IF(E11=0,"—",D11/E11),"—"))</f>
        <v/>
      </c>
      <c r="G11" s="37">
        <f>IF(Equipamentos!$A11="","",SUMIFS('Resumo por Equipamento'!$F$4:$F$3000,'Resumo por Equipamento'!$B$4:$B$3000,$A11,'Resumo por Equipamento'!$A$4:$A$3000,"&gt;="&amp;Diretoria!$B$4,'Resumo por Equipamento'!$A$4:$A$3000,"&lt;="&amp;Diretoria!$D$4))</f>
        <v/>
      </c>
      <c r="H11" s="39">
        <f>IF(Equipamentos!$A11="","",IFERROR(IF(G11=0,"—",D11/G11),"—"))</f>
        <v/>
      </c>
      <c r="I11" s="37">
        <f>IF(Equipamentos!$A11="","",SUMIFS('Resumo por Equipamento'!$H$4:$H$3000,'Resumo por Equipamento'!$B$4:$B$3000,$A11,'Resumo por Equipamento'!$A$4:$A$3000,"&gt;="&amp;Diretoria!$B$4,'Resumo por Equipamento'!$A$4:$A$3000,"&lt;="&amp;Diretoria!$D$4))</f>
        <v/>
      </c>
      <c r="J11" s="39">
        <f>IF(Equipamentos!$A11="","",IFERROR(IF(OR(D11=0,I11=0),"—",I11/D11),"—"))</f>
        <v/>
      </c>
      <c r="K11" s="37">
        <f>IF(Equipamentos!$A11="","",SUMIFS('Resumo por Equipamento'!$J$4:$J$3000,'Resumo por Equipamento'!$B$4:$B$3000,$A11,'Resumo por Equipamento'!$A$4:$A$3000,"&gt;="&amp;Diretoria!$B$4,'Resumo por Equipamento'!$A$4:$A$3000,"&lt;="&amp;Diretoria!$D$4))</f>
        <v/>
      </c>
    </row>
    <row r="12">
      <c r="A12" s="31">
        <f>IF(Equipamentos!$A12="","",Equipamentos!$A12)</f>
        <v/>
      </c>
      <c r="B12" s="32">
        <f>IF(Equipamentos!$A12="","",Equipamentos!$B12)</f>
        <v/>
      </c>
      <c r="C12" s="33">
        <f>IF(Equipamentos!$A12="","",COUNTIFS('Resumo por Equipamento'!$B$4:$B$3000,$A12,'Resumo por Equipamento'!$A$4:$A$3000,"&gt;="&amp;Diretoria!$B$4,'Resumo por Equipamento'!$A$4:$A$3000,"&lt;="&amp;Diretoria!$D$4,'Resumo por Equipamento'!$C$4:$C$3000,"&gt;0"))</f>
        <v/>
      </c>
      <c r="D12" s="33">
        <f>IF(Equipamentos!$A12="","",SUMIFS('Resumo por Equipamento'!$C$4:$C$3000,'Resumo por Equipamento'!$B$4:$B$3000,$A12,'Resumo por Equipamento'!$A$4:$A$3000,"&gt;="&amp;Diretoria!$B$4,'Resumo por Equipamento'!$A$4:$A$3000,"&lt;="&amp;Diretoria!$D$4))</f>
        <v/>
      </c>
      <c r="E12" s="34">
        <f>IF(Equipamentos!$A12="","",SUMIFS('Resumo por Equipamento'!$D$4:$D$3000,'Resumo por Equipamento'!$B$4:$B$3000,$A12,'Resumo por Equipamento'!$A$4:$A$3000,"&gt;="&amp;Diretoria!$B$4,'Resumo por Equipamento'!$A$4:$A$3000,"&lt;="&amp;Diretoria!$D$4))</f>
        <v/>
      </c>
      <c r="F12" s="35">
        <f>IF(Equipamentos!$A12="","",IFERROR(IF(E12=0,"—",D12/E12),"—"))</f>
        <v/>
      </c>
      <c r="G12" s="33">
        <f>IF(Equipamentos!$A12="","",SUMIFS('Resumo por Equipamento'!$F$4:$F$3000,'Resumo por Equipamento'!$B$4:$B$3000,$A12,'Resumo por Equipamento'!$A$4:$A$3000,"&gt;="&amp;Diretoria!$B$4,'Resumo por Equipamento'!$A$4:$A$3000,"&lt;="&amp;Diretoria!$D$4))</f>
        <v/>
      </c>
      <c r="H12" s="35">
        <f>IF(Equipamentos!$A12="","",IFERROR(IF(G12=0,"—",D12/G12),"—"))</f>
        <v/>
      </c>
      <c r="I12" s="33">
        <f>IF(Equipamentos!$A12="","",SUMIFS('Resumo por Equipamento'!$H$4:$H$3000,'Resumo por Equipamento'!$B$4:$B$3000,$A12,'Resumo por Equipamento'!$A$4:$A$3000,"&gt;="&amp;Diretoria!$B$4,'Resumo por Equipamento'!$A$4:$A$3000,"&lt;="&amp;Diretoria!$D$4))</f>
        <v/>
      </c>
      <c r="J12" s="35">
        <f>IF(Equipamentos!$A12="","",IFERROR(IF(OR(D12=0,I12=0),"—",I12/D12),"—"))</f>
        <v/>
      </c>
      <c r="K12" s="33">
        <f>IF(Equipamentos!$A12="","",SUMIFS('Resumo por Equipamento'!$J$4:$J$3000,'Resumo por Equipamento'!$B$4:$B$3000,$A12,'Resumo por Equipamento'!$A$4:$A$3000,"&gt;="&amp;Diretoria!$B$4,'Resumo por Equipamento'!$A$4:$A$3000,"&lt;="&amp;Diretoria!$D$4))</f>
        <v/>
      </c>
    </row>
    <row r="13">
      <c r="A13" s="22">
        <f>IF(Equipamentos!$A13="","",Equipamentos!$A13)</f>
        <v/>
      </c>
      <c r="B13" s="36">
        <f>IF(Equipamentos!$A13="","",Equipamentos!$B13)</f>
        <v/>
      </c>
      <c r="C13" s="37">
        <f>IF(Equipamentos!$A13="","",COUNTIFS('Resumo por Equipamento'!$B$4:$B$3000,$A13,'Resumo por Equipamento'!$A$4:$A$3000,"&gt;="&amp;Diretoria!$B$4,'Resumo por Equipamento'!$A$4:$A$3000,"&lt;="&amp;Diretoria!$D$4,'Resumo por Equipamento'!$C$4:$C$3000,"&gt;0"))</f>
        <v/>
      </c>
      <c r="D13" s="37">
        <f>IF(Equipamentos!$A13="","",SUMIFS('Resumo por Equipamento'!$C$4:$C$3000,'Resumo por Equipamento'!$B$4:$B$3000,$A13,'Resumo por Equipamento'!$A$4:$A$3000,"&gt;="&amp;Diretoria!$B$4,'Resumo por Equipamento'!$A$4:$A$3000,"&lt;="&amp;Diretoria!$D$4))</f>
        <v/>
      </c>
      <c r="E13" s="38">
        <f>IF(Equipamentos!$A13="","",SUMIFS('Resumo por Equipamento'!$D$4:$D$3000,'Resumo por Equipamento'!$B$4:$B$3000,$A13,'Resumo por Equipamento'!$A$4:$A$3000,"&gt;="&amp;Diretoria!$B$4,'Resumo por Equipamento'!$A$4:$A$3000,"&lt;="&amp;Diretoria!$D$4))</f>
        <v/>
      </c>
      <c r="F13" s="39">
        <f>IF(Equipamentos!$A13="","",IFERROR(IF(E13=0,"—",D13/E13),"—"))</f>
        <v/>
      </c>
      <c r="G13" s="37">
        <f>IF(Equipamentos!$A13="","",SUMIFS('Resumo por Equipamento'!$F$4:$F$3000,'Resumo por Equipamento'!$B$4:$B$3000,$A13,'Resumo por Equipamento'!$A$4:$A$3000,"&gt;="&amp;Diretoria!$B$4,'Resumo por Equipamento'!$A$4:$A$3000,"&lt;="&amp;Diretoria!$D$4))</f>
        <v/>
      </c>
      <c r="H13" s="39">
        <f>IF(Equipamentos!$A13="","",IFERROR(IF(G13=0,"—",D13/G13),"—"))</f>
        <v/>
      </c>
      <c r="I13" s="37">
        <f>IF(Equipamentos!$A13="","",SUMIFS('Resumo por Equipamento'!$H$4:$H$3000,'Resumo por Equipamento'!$B$4:$B$3000,$A13,'Resumo por Equipamento'!$A$4:$A$3000,"&gt;="&amp;Diretoria!$B$4,'Resumo por Equipamento'!$A$4:$A$3000,"&lt;="&amp;Diretoria!$D$4))</f>
        <v/>
      </c>
      <c r="J13" s="39">
        <f>IF(Equipamentos!$A13="","",IFERROR(IF(OR(D13=0,I13=0),"—",I13/D13),"—"))</f>
        <v/>
      </c>
      <c r="K13" s="37">
        <f>IF(Equipamentos!$A13="","",SUMIFS('Resumo por Equipamento'!$J$4:$J$3000,'Resumo por Equipamento'!$B$4:$B$3000,$A13,'Resumo por Equipamento'!$A$4:$A$3000,"&gt;="&amp;Diretoria!$B$4,'Resumo por Equipamento'!$A$4:$A$3000,"&lt;="&amp;Diretoria!$D$4))</f>
        <v/>
      </c>
    </row>
    <row r="14">
      <c r="A14" s="31">
        <f>IF(Equipamentos!$A14="","",Equipamentos!$A14)</f>
        <v/>
      </c>
      <c r="B14" s="32">
        <f>IF(Equipamentos!$A14="","",Equipamentos!$B14)</f>
        <v/>
      </c>
      <c r="C14" s="33">
        <f>IF(Equipamentos!$A14="","",COUNTIFS('Resumo por Equipamento'!$B$4:$B$3000,$A14,'Resumo por Equipamento'!$A$4:$A$3000,"&gt;="&amp;Diretoria!$B$4,'Resumo por Equipamento'!$A$4:$A$3000,"&lt;="&amp;Diretoria!$D$4,'Resumo por Equipamento'!$C$4:$C$3000,"&gt;0"))</f>
        <v/>
      </c>
      <c r="D14" s="33">
        <f>IF(Equipamentos!$A14="","",SUMIFS('Resumo por Equipamento'!$C$4:$C$3000,'Resumo por Equipamento'!$B$4:$B$3000,$A14,'Resumo por Equipamento'!$A$4:$A$3000,"&gt;="&amp;Diretoria!$B$4,'Resumo por Equipamento'!$A$4:$A$3000,"&lt;="&amp;Diretoria!$D$4))</f>
        <v/>
      </c>
      <c r="E14" s="34">
        <f>IF(Equipamentos!$A14="","",SUMIFS('Resumo por Equipamento'!$D$4:$D$3000,'Resumo por Equipamento'!$B$4:$B$3000,$A14,'Resumo por Equipamento'!$A$4:$A$3000,"&gt;="&amp;Diretoria!$B$4,'Resumo por Equipamento'!$A$4:$A$3000,"&lt;="&amp;Diretoria!$D$4))</f>
        <v/>
      </c>
      <c r="F14" s="35">
        <f>IF(Equipamentos!$A14="","",IFERROR(IF(E14=0,"—",D14/E14),"—"))</f>
        <v/>
      </c>
      <c r="G14" s="33">
        <f>IF(Equipamentos!$A14="","",SUMIFS('Resumo por Equipamento'!$F$4:$F$3000,'Resumo por Equipamento'!$B$4:$B$3000,$A14,'Resumo por Equipamento'!$A$4:$A$3000,"&gt;="&amp;Diretoria!$B$4,'Resumo por Equipamento'!$A$4:$A$3000,"&lt;="&amp;Diretoria!$D$4))</f>
        <v/>
      </c>
      <c r="H14" s="35">
        <f>IF(Equipamentos!$A14="","",IFERROR(IF(G14=0,"—",D14/G14),"—"))</f>
        <v/>
      </c>
      <c r="I14" s="33">
        <f>IF(Equipamentos!$A14="","",SUMIFS('Resumo por Equipamento'!$H$4:$H$3000,'Resumo por Equipamento'!$B$4:$B$3000,$A14,'Resumo por Equipamento'!$A$4:$A$3000,"&gt;="&amp;Diretoria!$B$4,'Resumo por Equipamento'!$A$4:$A$3000,"&lt;="&amp;Diretoria!$D$4))</f>
        <v/>
      </c>
      <c r="J14" s="35">
        <f>IF(Equipamentos!$A14="","",IFERROR(IF(OR(D14=0,I14=0),"—",I14/D14),"—"))</f>
        <v/>
      </c>
      <c r="K14" s="33">
        <f>IF(Equipamentos!$A14="","",SUMIFS('Resumo por Equipamento'!$J$4:$J$3000,'Resumo por Equipamento'!$B$4:$B$3000,$A14,'Resumo por Equipamento'!$A$4:$A$3000,"&gt;="&amp;Diretoria!$B$4,'Resumo por Equipamento'!$A$4:$A$3000,"&lt;="&amp;Diretoria!$D$4))</f>
        <v/>
      </c>
    </row>
    <row r="15">
      <c r="A15" s="22">
        <f>IF(Equipamentos!$A15="","",Equipamentos!$A15)</f>
        <v/>
      </c>
      <c r="B15" s="36">
        <f>IF(Equipamentos!$A15="","",Equipamentos!$B15)</f>
        <v/>
      </c>
      <c r="C15" s="37">
        <f>IF(Equipamentos!$A15="","",COUNTIFS('Resumo por Equipamento'!$B$4:$B$3000,$A15,'Resumo por Equipamento'!$A$4:$A$3000,"&gt;="&amp;Diretoria!$B$4,'Resumo por Equipamento'!$A$4:$A$3000,"&lt;="&amp;Diretoria!$D$4,'Resumo por Equipamento'!$C$4:$C$3000,"&gt;0"))</f>
        <v/>
      </c>
      <c r="D15" s="37">
        <f>IF(Equipamentos!$A15="","",SUMIFS('Resumo por Equipamento'!$C$4:$C$3000,'Resumo por Equipamento'!$B$4:$B$3000,$A15,'Resumo por Equipamento'!$A$4:$A$3000,"&gt;="&amp;Diretoria!$B$4,'Resumo por Equipamento'!$A$4:$A$3000,"&lt;="&amp;Diretoria!$D$4))</f>
        <v/>
      </c>
      <c r="E15" s="38">
        <f>IF(Equipamentos!$A15="","",SUMIFS('Resumo por Equipamento'!$D$4:$D$3000,'Resumo por Equipamento'!$B$4:$B$3000,$A15,'Resumo por Equipamento'!$A$4:$A$3000,"&gt;="&amp;Diretoria!$B$4,'Resumo por Equipamento'!$A$4:$A$3000,"&lt;="&amp;Diretoria!$D$4))</f>
        <v/>
      </c>
      <c r="F15" s="39">
        <f>IF(Equipamentos!$A15="","",IFERROR(IF(E15=0,"—",D15/E15),"—"))</f>
        <v/>
      </c>
      <c r="G15" s="37">
        <f>IF(Equipamentos!$A15="","",SUMIFS('Resumo por Equipamento'!$F$4:$F$3000,'Resumo por Equipamento'!$B$4:$B$3000,$A15,'Resumo por Equipamento'!$A$4:$A$3000,"&gt;="&amp;Diretoria!$B$4,'Resumo por Equipamento'!$A$4:$A$3000,"&lt;="&amp;Diretoria!$D$4))</f>
        <v/>
      </c>
      <c r="H15" s="39">
        <f>IF(Equipamentos!$A15="","",IFERROR(IF(G15=0,"—",D15/G15),"—"))</f>
        <v/>
      </c>
      <c r="I15" s="37">
        <f>IF(Equipamentos!$A15="","",SUMIFS('Resumo por Equipamento'!$H$4:$H$3000,'Resumo por Equipamento'!$B$4:$B$3000,$A15,'Resumo por Equipamento'!$A$4:$A$3000,"&gt;="&amp;Diretoria!$B$4,'Resumo por Equipamento'!$A$4:$A$3000,"&lt;="&amp;Diretoria!$D$4))</f>
        <v/>
      </c>
      <c r="J15" s="39">
        <f>IF(Equipamentos!$A15="","",IFERROR(IF(OR(D15=0,I15=0),"—",I15/D15),"—"))</f>
        <v/>
      </c>
      <c r="K15" s="37">
        <f>IF(Equipamentos!$A15="","",SUMIFS('Resumo por Equipamento'!$J$4:$J$3000,'Resumo por Equipamento'!$B$4:$B$3000,$A15,'Resumo por Equipamento'!$A$4:$A$3000,"&gt;="&amp;Diretoria!$B$4,'Resumo por Equipamento'!$A$4:$A$3000,"&lt;="&amp;Diretoria!$D$4))</f>
        <v/>
      </c>
    </row>
    <row r="16">
      <c r="A16" s="31">
        <f>IF(Equipamentos!$A16="","",Equipamentos!$A16)</f>
        <v/>
      </c>
      <c r="B16" s="32">
        <f>IF(Equipamentos!$A16="","",Equipamentos!$B16)</f>
        <v/>
      </c>
      <c r="C16" s="33">
        <f>IF(Equipamentos!$A16="","",COUNTIFS('Resumo por Equipamento'!$B$4:$B$3000,$A16,'Resumo por Equipamento'!$A$4:$A$3000,"&gt;="&amp;Diretoria!$B$4,'Resumo por Equipamento'!$A$4:$A$3000,"&lt;="&amp;Diretoria!$D$4,'Resumo por Equipamento'!$C$4:$C$3000,"&gt;0"))</f>
        <v/>
      </c>
      <c r="D16" s="33">
        <f>IF(Equipamentos!$A16="","",SUMIFS('Resumo por Equipamento'!$C$4:$C$3000,'Resumo por Equipamento'!$B$4:$B$3000,$A16,'Resumo por Equipamento'!$A$4:$A$3000,"&gt;="&amp;Diretoria!$B$4,'Resumo por Equipamento'!$A$4:$A$3000,"&lt;="&amp;Diretoria!$D$4))</f>
        <v/>
      </c>
      <c r="E16" s="34">
        <f>IF(Equipamentos!$A16="","",SUMIFS('Resumo por Equipamento'!$D$4:$D$3000,'Resumo por Equipamento'!$B$4:$B$3000,$A16,'Resumo por Equipamento'!$A$4:$A$3000,"&gt;="&amp;Diretoria!$B$4,'Resumo por Equipamento'!$A$4:$A$3000,"&lt;="&amp;Diretoria!$D$4))</f>
        <v/>
      </c>
      <c r="F16" s="35">
        <f>IF(Equipamentos!$A16="","",IFERROR(IF(E16=0,"—",D16/E16),"—"))</f>
        <v/>
      </c>
      <c r="G16" s="33">
        <f>IF(Equipamentos!$A16="","",SUMIFS('Resumo por Equipamento'!$F$4:$F$3000,'Resumo por Equipamento'!$B$4:$B$3000,$A16,'Resumo por Equipamento'!$A$4:$A$3000,"&gt;="&amp;Diretoria!$B$4,'Resumo por Equipamento'!$A$4:$A$3000,"&lt;="&amp;Diretoria!$D$4))</f>
        <v/>
      </c>
      <c r="H16" s="35">
        <f>IF(Equipamentos!$A16="","",IFERROR(IF(G16=0,"—",D16/G16),"—"))</f>
        <v/>
      </c>
      <c r="I16" s="33">
        <f>IF(Equipamentos!$A16="","",SUMIFS('Resumo por Equipamento'!$H$4:$H$3000,'Resumo por Equipamento'!$B$4:$B$3000,$A16,'Resumo por Equipamento'!$A$4:$A$3000,"&gt;="&amp;Diretoria!$B$4,'Resumo por Equipamento'!$A$4:$A$3000,"&lt;="&amp;Diretoria!$D$4))</f>
        <v/>
      </c>
      <c r="J16" s="35">
        <f>IF(Equipamentos!$A16="","",IFERROR(IF(OR(D16=0,I16=0),"—",I16/D16),"—"))</f>
        <v/>
      </c>
      <c r="K16" s="33">
        <f>IF(Equipamentos!$A16="","",SUMIFS('Resumo por Equipamento'!$J$4:$J$3000,'Resumo por Equipamento'!$B$4:$B$3000,$A16,'Resumo por Equipamento'!$A$4:$A$3000,"&gt;="&amp;Diretoria!$B$4,'Resumo por Equipamento'!$A$4:$A$3000,"&lt;="&amp;Diretoria!$D$4))</f>
        <v/>
      </c>
    </row>
    <row r="17">
      <c r="A17" s="22">
        <f>IF(Equipamentos!$A17="","",Equipamentos!$A17)</f>
        <v/>
      </c>
      <c r="B17" s="36">
        <f>IF(Equipamentos!$A17="","",Equipamentos!$B17)</f>
        <v/>
      </c>
      <c r="C17" s="37">
        <f>IF(Equipamentos!$A17="","",COUNTIFS('Resumo por Equipamento'!$B$4:$B$3000,$A17,'Resumo por Equipamento'!$A$4:$A$3000,"&gt;="&amp;Diretoria!$B$4,'Resumo por Equipamento'!$A$4:$A$3000,"&lt;="&amp;Diretoria!$D$4,'Resumo por Equipamento'!$C$4:$C$3000,"&gt;0"))</f>
        <v/>
      </c>
      <c r="D17" s="37">
        <f>IF(Equipamentos!$A17="","",SUMIFS('Resumo por Equipamento'!$C$4:$C$3000,'Resumo por Equipamento'!$B$4:$B$3000,$A17,'Resumo por Equipamento'!$A$4:$A$3000,"&gt;="&amp;Diretoria!$B$4,'Resumo por Equipamento'!$A$4:$A$3000,"&lt;="&amp;Diretoria!$D$4))</f>
        <v/>
      </c>
      <c r="E17" s="38">
        <f>IF(Equipamentos!$A17="","",SUMIFS('Resumo por Equipamento'!$D$4:$D$3000,'Resumo por Equipamento'!$B$4:$B$3000,$A17,'Resumo por Equipamento'!$A$4:$A$3000,"&gt;="&amp;Diretoria!$B$4,'Resumo por Equipamento'!$A$4:$A$3000,"&lt;="&amp;Diretoria!$D$4))</f>
        <v/>
      </c>
      <c r="F17" s="39">
        <f>IF(Equipamentos!$A17="","",IFERROR(IF(E17=0,"—",D17/E17),"—"))</f>
        <v/>
      </c>
      <c r="G17" s="37">
        <f>IF(Equipamentos!$A17="","",SUMIFS('Resumo por Equipamento'!$F$4:$F$3000,'Resumo por Equipamento'!$B$4:$B$3000,$A17,'Resumo por Equipamento'!$A$4:$A$3000,"&gt;="&amp;Diretoria!$B$4,'Resumo por Equipamento'!$A$4:$A$3000,"&lt;="&amp;Diretoria!$D$4))</f>
        <v/>
      </c>
      <c r="H17" s="39">
        <f>IF(Equipamentos!$A17="","",IFERROR(IF(G17=0,"—",D17/G17),"—"))</f>
        <v/>
      </c>
      <c r="I17" s="37">
        <f>IF(Equipamentos!$A17="","",SUMIFS('Resumo por Equipamento'!$H$4:$H$3000,'Resumo por Equipamento'!$B$4:$B$3000,$A17,'Resumo por Equipamento'!$A$4:$A$3000,"&gt;="&amp;Diretoria!$B$4,'Resumo por Equipamento'!$A$4:$A$3000,"&lt;="&amp;Diretoria!$D$4))</f>
        <v/>
      </c>
      <c r="J17" s="39">
        <f>IF(Equipamentos!$A17="","",IFERROR(IF(OR(D17=0,I17=0),"—",I17/D17),"—"))</f>
        <v/>
      </c>
      <c r="K17" s="37">
        <f>IF(Equipamentos!$A17="","",SUMIFS('Resumo por Equipamento'!$J$4:$J$3000,'Resumo por Equipamento'!$B$4:$B$3000,$A17,'Resumo por Equipamento'!$A$4:$A$3000,"&gt;="&amp;Diretoria!$B$4,'Resumo por Equipamento'!$A$4:$A$3000,"&lt;="&amp;Diretoria!$D$4))</f>
        <v/>
      </c>
    </row>
    <row r="18">
      <c r="A18" s="31">
        <f>IF(Equipamentos!$A18="","",Equipamentos!$A18)</f>
        <v/>
      </c>
      <c r="B18" s="32">
        <f>IF(Equipamentos!$A18="","",Equipamentos!$B18)</f>
        <v/>
      </c>
      <c r="C18" s="33">
        <f>IF(Equipamentos!$A18="","",COUNTIFS('Resumo por Equipamento'!$B$4:$B$3000,$A18,'Resumo por Equipamento'!$A$4:$A$3000,"&gt;="&amp;Diretoria!$B$4,'Resumo por Equipamento'!$A$4:$A$3000,"&lt;="&amp;Diretoria!$D$4,'Resumo por Equipamento'!$C$4:$C$3000,"&gt;0"))</f>
        <v/>
      </c>
      <c r="D18" s="33">
        <f>IF(Equipamentos!$A18="","",SUMIFS('Resumo por Equipamento'!$C$4:$C$3000,'Resumo por Equipamento'!$B$4:$B$3000,$A18,'Resumo por Equipamento'!$A$4:$A$3000,"&gt;="&amp;Diretoria!$B$4,'Resumo por Equipamento'!$A$4:$A$3000,"&lt;="&amp;Diretoria!$D$4))</f>
        <v/>
      </c>
      <c r="E18" s="34">
        <f>IF(Equipamentos!$A18="","",SUMIFS('Resumo por Equipamento'!$D$4:$D$3000,'Resumo por Equipamento'!$B$4:$B$3000,$A18,'Resumo por Equipamento'!$A$4:$A$3000,"&gt;="&amp;Diretoria!$B$4,'Resumo por Equipamento'!$A$4:$A$3000,"&lt;="&amp;Diretoria!$D$4))</f>
        <v/>
      </c>
      <c r="F18" s="35">
        <f>IF(Equipamentos!$A18="","",IFERROR(IF(E18=0,"—",D18/E18),"—"))</f>
        <v/>
      </c>
      <c r="G18" s="33">
        <f>IF(Equipamentos!$A18="","",SUMIFS('Resumo por Equipamento'!$F$4:$F$3000,'Resumo por Equipamento'!$B$4:$B$3000,$A18,'Resumo por Equipamento'!$A$4:$A$3000,"&gt;="&amp;Diretoria!$B$4,'Resumo por Equipamento'!$A$4:$A$3000,"&lt;="&amp;Diretoria!$D$4))</f>
        <v/>
      </c>
      <c r="H18" s="35">
        <f>IF(Equipamentos!$A18="","",IFERROR(IF(G18=0,"—",D18/G18),"—"))</f>
        <v/>
      </c>
      <c r="I18" s="33">
        <f>IF(Equipamentos!$A18="","",SUMIFS('Resumo por Equipamento'!$H$4:$H$3000,'Resumo por Equipamento'!$B$4:$B$3000,$A18,'Resumo por Equipamento'!$A$4:$A$3000,"&gt;="&amp;Diretoria!$B$4,'Resumo por Equipamento'!$A$4:$A$3000,"&lt;="&amp;Diretoria!$D$4))</f>
        <v/>
      </c>
      <c r="J18" s="35">
        <f>IF(Equipamentos!$A18="","",IFERROR(IF(OR(D18=0,I18=0),"—",I18/D18),"—"))</f>
        <v/>
      </c>
      <c r="K18" s="33">
        <f>IF(Equipamentos!$A18="","",SUMIFS('Resumo por Equipamento'!$J$4:$J$3000,'Resumo por Equipamento'!$B$4:$B$3000,$A18,'Resumo por Equipamento'!$A$4:$A$3000,"&gt;="&amp;Diretoria!$B$4,'Resumo por Equipamento'!$A$4:$A$3000,"&lt;="&amp;Diretoria!$D$4))</f>
        <v/>
      </c>
    </row>
    <row r="19">
      <c r="A19" s="22">
        <f>IF(Equipamentos!$A19="","",Equipamentos!$A19)</f>
        <v/>
      </c>
      <c r="B19" s="36">
        <f>IF(Equipamentos!$A19="","",Equipamentos!$B19)</f>
        <v/>
      </c>
      <c r="C19" s="37">
        <f>IF(Equipamentos!$A19="","",COUNTIFS('Resumo por Equipamento'!$B$4:$B$3000,$A19,'Resumo por Equipamento'!$A$4:$A$3000,"&gt;="&amp;Diretoria!$B$4,'Resumo por Equipamento'!$A$4:$A$3000,"&lt;="&amp;Diretoria!$D$4,'Resumo por Equipamento'!$C$4:$C$3000,"&gt;0"))</f>
        <v/>
      </c>
      <c r="D19" s="37">
        <f>IF(Equipamentos!$A19="","",SUMIFS('Resumo por Equipamento'!$C$4:$C$3000,'Resumo por Equipamento'!$B$4:$B$3000,$A19,'Resumo por Equipamento'!$A$4:$A$3000,"&gt;="&amp;Diretoria!$B$4,'Resumo por Equipamento'!$A$4:$A$3000,"&lt;="&amp;Diretoria!$D$4))</f>
        <v/>
      </c>
      <c r="E19" s="38">
        <f>IF(Equipamentos!$A19="","",SUMIFS('Resumo por Equipamento'!$D$4:$D$3000,'Resumo por Equipamento'!$B$4:$B$3000,$A19,'Resumo por Equipamento'!$A$4:$A$3000,"&gt;="&amp;Diretoria!$B$4,'Resumo por Equipamento'!$A$4:$A$3000,"&lt;="&amp;Diretoria!$D$4))</f>
        <v/>
      </c>
      <c r="F19" s="39">
        <f>IF(Equipamentos!$A19="","",IFERROR(IF(E19=0,"—",D19/E19),"—"))</f>
        <v/>
      </c>
      <c r="G19" s="37">
        <f>IF(Equipamentos!$A19="","",SUMIFS('Resumo por Equipamento'!$F$4:$F$3000,'Resumo por Equipamento'!$B$4:$B$3000,$A19,'Resumo por Equipamento'!$A$4:$A$3000,"&gt;="&amp;Diretoria!$B$4,'Resumo por Equipamento'!$A$4:$A$3000,"&lt;="&amp;Diretoria!$D$4))</f>
        <v/>
      </c>
      <c r="H19" s="39">
        <f>IF(Equipamentos!$A19="","",IFERROR(IF(G19=0,"—",D19/G19),"—"))</f>
        <v/>
      </c>
      <c r="I19" s="37">
        <f>IF(Equipamentos!$A19="","",SUMIFS('Resumo por Equipamento'!$H$4:$H$3000,'Resumo por Equipamento'!$B$4:$B$3000,$A19,'Resumo por Equipamento'!$A$4:$A$3000,"&gt;="&amp;Diretoria!$B$4,'Resumo por Equipamento'!$A$4:$A$3000,"&lt;="&amp;Diretoria!$D$4))</f>
        <v/>
      </c>
      <c r="J19" s="39">
        <f>IF(Equipamentos!$A19="","",IFERROR(IF(OR(D19=0,I19=0),"—",I19/D19),"—"))</f>
        <v/>
      </c>
      <c r="K19" s="37">
        <f>IF(Equipamentos!$A19="","",SUMIFS('Resumo por Equipamento'!$J$4:$J$3000,'Resumo por Equipamento'!$B$4:$B$3000,$A19,'Resumo por Equipamento'!$A$4:$A$3000,"&gt;="&amp;Diretoria!$B$4,'Resumo por Equipamento'!$A$4:$A$3000,"&lt;="&amp;Diretoria!$D$4))</f>
        <v/>
      </c>
    </row>
    <row r="20">
      <c r="A20" s="31">
        <f>IF(Equipamentos!$A20="","",Equipamentos!$A20)</f>
        <v/>
      </c>
      <c r="B20" s="32">
        <f>IF(Equipamentos!$A20="","",Equipamentos!$B20)</f>
        <v/>
      </c>
      <c r="C20" s="33">
        <f>IF(Equipamentos!$A20="","",COUNTIFS('Resumo por Equipamento'!$B$4:$B$3000,$A20,'Resumo por Equipamento'!$A$4:$A$3000,"&gt;="&amp;Diretoria!$B$4,'Resumo por Equipamento'!$A$4:$A$3000,"&lt;="&amp;Diretoria!$D$4,'Resumo por Equipamento'!$C$4:$C$3000,"&gt;0"))</f>
        <v/>
      </c>
      <c r="D20" s="33">
        <f>IF(Equipamentos!$A20="","",SUMIFS('Resumo por Equipamento'!$C$4:$C$3000,'Resumo por Equipamento'!$B$4:$B$3000,$A20,'Resumo por Equipamento'!$A$4:$A$3000,"&gt;="&amp;Diretoria!$B$4,'Resumo por Equipamento'!$A$4:$A$3000,"&lt;="&amp;Diretoria!$D$4))</f>
        <v/>
      </c>
      <c r="E20" s="34">
        <f>IF(Equipamentos!$A20="","",SUMIFS('Resumo por Equipamento'!$D$4:$D$3000,'Resumo por Equipamento'!$B$4:$B$3000,$A20,'Resumo por Equipamento'!$A$4:$A$3000,"&gt;="&amp;Diretoria!$B$4,'Resumo por Equipamento'!$A$4:$A$3000,"&lt;="&amp;Diretoria!$D$4))</f>
        <v/>
      </c>
      <c r="F20" s="35">
        <f>IF(Equipamentos!$A20="","",IFERROR(IF(E20=0,"—",D20/E20),"—"))</f>
        <v/>
      </c>
      <c r="G20" s="33">
        <f>IF(Equipamentos!$A20="","",SUMIFS('Resumo por Equipamento'!$F$4:$F$3000,'Resumo por Equipamento'!$B$4:$B$3000,$A20,'Resumo por Equipamento'!$A$4:$A$3000,"&gt;="&amp;Diretoria!$B$4,'Resumo por Equipamento'!$A$4:$A$3000,"&lt;="&amp;Diretoria!$D$4))</f>
        <v/>
      </c>
      <c r="H20" s="35">
        <f>IF(Equipamentos!$A20="","",IFERROR(IF(G20=0,"—",D20/G20),"—"))</f>
        <v/>
      </c>
      <c r="I20" s="33">
        <f>IF(Equipamentos!$A20="","",SUMIFS('Resumo por Equipamento'!$H$4:$H$3000,'Resumo por Equipamento'!$B$4:$B$3000,$A20,'Resumo por Equipamento'!$A$4:$A$3000,"&gt;="&amp;Diretoria!$B$4,'Resumo por Equipamento'!$A$4:$A$3000,"&lt;="&amp;Diretoria!$D$4))</f>
        <v/>
      </c>
      <c r="J20" s="35">
        <f>IF(Equipamentos!$A20="","",IFERROR(IF(OR(D20=0,I20=0),"—",I20/D20),"—"))</f>
        <v/>
      </c>
      <c r="K20" s="33">
        <f>IF(Equipamentos!$A20="","",SUMIFS('Resumo por Equipamento'!$J$4:$J$3000,'Resumo por Equipamento'!$B$4:$B$3000,$A20,'Resumo por Equipamento'!$A$4:$A$3000,"&gt;="&amp;Diretoria!$B$4,'Resumo por Equipamento'!$A$4:$A$3000,"&lt;="&amp;Diretoria!$D$4))</f>
        <v/>
      </c>
    </row>
    <row r="21">
      <c r="A21" s="22">
        <f>IF(Equipamentos!$A21="","",Equipamentos!$A21)</f>
        <v/>
      </c>
      <c r="B21" s="36">
        <f>IF(Equipamentos!$A21="","",Equipamentos!$B21)</f>
        <v/>
      </c>
      <c r="C21" s="37">
        <f>IF(Equipamentos!$A21="","",COUNTIFS('Resumo por Equipamento'!$B$4:$B$3000,$A21,'Resumo por Equipamento'!$A$4:$A$3000,"&gt;="&amp;Diretoria!$B$4,'Resumo por Equipamento'!$A$4:$A$3000,"&lt;="&amp;Diretoria!$D$4,'Resumo por Equipamento'!$C$4:$C$3000,"&gt;0"))</f>
        <v/>
      </c>
      <c r="D21" s="37">
        <f>IF(Equipamentos!$A21="","",SUMIFS('Resumo por Equipamento'!$C$4:$C$3000,'Resumo por Equipamento'!$B$4:$B$3000,$A21,'Resumo por Equipamento'!$A$4:$A$3000,"&gt;="&amp;Diretoria!$B$4,'Resumo por Equipamento'!$A$4:$A$3000,"&lt;="&amp;Diretoria!$D$4))</f>
        <v/>
      </c>
      <c r="E21" s="38">
        <f>IF(Equipamentos!$A21="","",SUMIFS('Resumo por Equipamento'!$D$4:$D$3000,'Resumo por Equipamento'!$B$4:$B$3000,$A21,'Resumo por Equipamento'!$A$4:$A$3000,"&gt;="&amp;Diretoria!$B$4,'Resumo por Equipamento'!$A$4:$A$3000,"&lt;="&amp;Diretoria!$D$4))</f>
        <v/>
      </c>
      <c r="F21" s="39">
        <f>IF(Equipamentos!$A21="","",IFERROR(IF(E21=0,"—",D21/E21),"—"))</f>
        <v/>
      </c>
      <c r="G21" s="37">
        <f>IF(Equipamentos!$A21="","",SUMIFS('Resumo por Equipamento'!$F$4:$F$3000,'Resumo por Equipamento'!$B$4:$B$3000,$A21,'Resumo por Equipamento'!$A$4:$A$3000,"&gt;="&amp;Diretoria!$B$4,'Resumo por Equipamento'!$A$4:$A$3000,"&lt;="&amp;Diretoria!$D$4))</f>
        <v/>
      </c>
      <c r="H21" s="39">
        <f>IF(Equipamentos!$A21="","",IFERROR(IF(G21=0,"—",D21/G21),"—"))</f>
        <v/>
      </c>
      <c r="I21" s="37">
        <f>IF(Equipamentos!$A21="","",SUMIFS('Resumo por Equipamento'!$H$4:$H$3000,'Resumo por Equipamento'!$B$4:$B$3000,$A21,'Resumo por Equipamento'!$A$4:$A$3000,"&gt;="&amp;Diretoria!$B$4,'Resumo por Equipamento'!$A$4:$A$3000,"&lt;="&amp;Diretoria!$D$4))</f>
        <v/>
      </c>
      <c r="J21" s="39">
        <f>IF(Equipamentos!$A21="","",IFERROR(IF(OR(D21=0,I21=0),"—",I21/D21),"—"))</f>
        <v/>
      </c>
      <c r="K21" s="37">
        <f>IF(Equipamentos!$A21="","",SUMIFS('Resumo por Equipamento'!$J$4:$J$3000,'Resumo por Equipamento'!$B$4:$B$3000,$A21,'Resumo por Equipamento'!$A$4:$A$3000,"&gt;="&amp;Diretoria!$B$4,'Resumo por Equipamento'!$A$4:$A$3000,"&lt;="&amp;Diretoria!$D$4))</f>
        <v/>
      </c>
    </row>
    <row r="22">
      <c r="A22" s="31">
        <f>IF(Equipamentos!$A22="","",Equipamentos!$A22)</f>
        <v/>
      </c>
      <c r="B22" s="32">
        <f>IF(Equipamentos!$A22="","",Equipamentos!$B22)</f>
        <v/>
      </c>
      <c r="C22" s="33">
        <f>IF(Equipamentos!$A22="","",COUNTIFS('Resumo por Equipamento'!$B$4:$B$3000,$A22,'Resumo por Equipamento'!$A$4:$A$3000,"&gt;="&amp;Diretoria!$B$4,'Resumo por Equipamento'!$A$4:$A$3000,"&lt;="&amp;Diretoria!$D$4,'Resumo por Equipamento'!$C$4:$C$3000,"&gt;0"))</f>
        <v/>
      </c>
      <c r="D22" s="33">
        <f>IF(Equipamentos!$A22="","",SUMIFS('Resumo por Equipamento'!$C$4:$C$3000,'Resumo por Equipamento'!$B$4:$B$3000,$A22,'Resumo por Equipamento'!$A$4:$A$3000,"&gt;="&amp;Diretoria!$B$4,'Resumo por Equipamento'!$A$4:$A$3000,"&lt;="&amp;Diretoria!$D$4))</f>
        <v/>
      </c>
      <c r="E22" s="34">
        <f>IF(Equipamentos!$A22="","",SUMIFS('Resumo por Equipamento'!$D$4:$D$3000,'Resumo por Equipamento'!$B$4:$B$3000,$A22,'Resumo por Equipamento'!$A$4:$A$3000,"&gt;="&amp;Diretoria!$B$4,'Resumo por Equipamento'!$A$4:$A$3000,"&lt;="&amp;Diretoria!$D$4))</f>
        <v/>
      </c>
      <c r="F22" s="35">
        <f>IF(Equipamentos!$A22="","",IFERROR(IF(E22=0,"—",D22/E22),"—"))</f>
        <v/>
      </c>
      <c r="G22" s="33">
        <f>IF(Equipamentos!$A22="","",SUMIFS('Resumo por Equipamento'!$F$4:$F$3000,'Resumo por Equipamento'!$B$4:$B$3000,$A22,'Resumo por Equipamento'!$A$4:$A$3000,"&gt;="&amp;Diretoria!$B$4,'Resumo por Equipamento'!$A$4:$A$3000,"&lt;="&amp;Diretoria!$D$4))</f>
        <v/>
      </c>
      <c r="H22" s="35">
        <f>IF(Equipamentos!$A22="","",IFERROR(IF(G22=0,"—",D22/G22),"—"))</f>
        <v/>
      </c>
      <c r="I22" s="33">
        <f>IF(Equipamentos!$A22="","",SUMIFS('Resumo por Equipamento'!$H$4:$H$3000,'Resumo por Equipamento'!$B$4:$B$3000,$A22,'Resumo por Equipamento'!$A$4:$A$3000,"&gt;="&amp;Diretoria!$B$4,'Resumo por Equipamento'!$A$4:$A$3000,"&lt;="&amp;Diretoria!$D$4))</f>
        <v/>
      </c>
      <c r="J22" s="35">
        <f>IF(Equipamentos!$A22="","",IFERROR(IF(OR(D22=0,I22=0),"—",I22/D22),"—"))</f>
        <v/>
      </c>
      <c r="K22" s="33">
        <f>IF(Equipamentos!$A22="","",SUMIFS('Resumo por Equipamento'!$J$4:$J$3000,'Resumo por Equipamento'!$B$4:$B$3000,$A22,'Resumo por Equipamento'!$A$4:$A$3000,"&gt;="&amp;Diretoria!$B$4,'Resumo por Equipamento'!$A$4:$A$3000,"&lt;="&amp;Diretoria!$D$4))</f>
        <v/>
      </c>
    </row>
    <row r="23">
      <c r="A23" s="22">
        <f>IF(Equipamentos!$A23="","",Equipamentos!$A23)</f>
        <v/>
      </c>
      <c r="B23" s="36">
        <f>IF(Equipamentos!$A23="","",Equipamentos!$B23)</f>
        <v/>
      </c>
      <c r="C23" s="37">
        <f>IF(Equipamentos!$A23="","",COUNTIFS('Resumo por Equipamento'!$B$4:$B$3000,$A23,'Resumo por Equipamento'!$A$4:$A$3000,"&gt;="&amp;Diretoria!$B$4,'Resumo por Equipamento'!$A$4:$A$3000,"&lt;="&amp;Diretoria!$D$4,'Resumo por Equipamento'!$C$4:$C$3000,"&gt;0"))</f>
        <v/>
      </c>
      <c r="D23" s="37">
        <f>IF(Equipamentos!$A23="","",SUMIFS('Resumo por Equipamento'!$C$4:$C$3000,'Resumo por Equipamento'!$B$4:$B$3000,$A23,'Resumo por Equipamento'!$A$4:$A$3000,"&gt;="&amp;Diretoria!$B$4,'Resumo por Equipamento'!$A$4:$A$3000,"&lt;="&amp;Diretoria!$D$4))</f>
        <v/>
      </c>
      <c r="E23" s="38">
        <f>IF(Equipamentos!$A23="","",SUMIFS('Resumo por Equipamento'!$D$4:$D$3000,'Resumo por Equipamento'!$B$4:$B$3000,$A23,'Resumo por Equipamento'!$A$4:$A$3000,"&gt;="&amp;Diretoria!$B$4,'Resumo por Equipamento'!$A$4:$A$3000,"&lt;="&amp;Diretoria!$D$4))</f>
        <v/>
      </c>
      <c r="F23" s="39">
        <f>IF(Equipamentos!$A23="","",IFERROR(IF(E23=0,"—",D23/E23),"—"))</f>
        <v/>
      </c>
      <c r="G23" s="37">
        <f>IF(Equipamentos!$A23="","",SUMIFS('Resumo por Equipamento'!$F$4:$F$3000,'Resumo por Equipamento'!$B$4:$B$3000,$A23,'Resumo por Equipamento'!$A$4:$A$3000,"&gt;="&amp;Diretoria!$B$4,'Resumo por Equipamento'!$A$4:$A$3000,"&lt;="&amp;Diretoria!$D$4))</f>
        <v/>
      </c>
      <c r="H23" s="39">
        <f>IF(Equipamentos!$A23="","",IFERROR(IF(G23=0,"—",D23/G23),"—"))</f>
        <v/>
      </c>
      <c r="I23" s="37">
        <f>IF(Equipamentos!$A23="","",SUMIFS('Resumo por Equipamento'!$H$4:$H$3000,'Resumo por Equipamento'!$B$4:$B$3000,$A23,'Resumo por Equipamento'!$A$4:$A$3000,"&gt;="&amp;Diretoria!$B$4,'Resumo por Equipamento'!$A$4:$A$3000,"&lt;="&amp;Diretoria!$D$4))</f>
        <v/>
      </c>
      <c r="J23" s="39">
        <f>IF(Equipamentos!$A23="","",IFERROR(IF(OR(D23=0,I23=0),"—",I23/D23),"—"))</f>
        <v/>
      </c>
      <c r="K23" s="37">
        <f>IF(Equipamentos!$A23="","",SUMIFS('Resumo por Equipamento'!$J$4:$J$3000,'Resumo por Equipamento'!$B$4:$B$3000,$A23,'Resumo por Equipamento'!$A$4:$A$3000,"&gt;="&amp;Diretoria!$B$4,'Resumo por Equipamento'!$A$4:$A$3000,"&lt;="&amp;Diretoria!$D$4))</f>
        <v/>
      </c>
    </row>
    <row r="24">
      <c r="A24" s="31">
        <f>IF(Equipamentos!$A24="","",Equipamentos!$A24)</f>
        <v/>
      </c>
      <c r="B24" s="32">
        <f>IF(Equipamentos!$A24="","",Equipamentos!$B24)</f>
        <v/>
      </c>
      <c r="C24" s="33">
        <f>IF(Equipamentos!$A24="","",COUNTIFS('Resumo por Equipamento'!$B$4:$B$3000,$A24,'Resumo por Equipamento'!$A$4:$A$3000,"&gt;="&amp;Diretoria!$B$4,'Resumo por Equipamento'!$A$4:$A$3000,"&lt;="&amp;Diretoria!$D$4,'Resumo por Equipamento'!$C$4:$C$3000,"&gt;0"))</f>
        <v/>
      </c>
      <c r="D24" s="33">
        <f>IF(Equipamentos!$A24="","",SUMIFS('Resumo por Equipamento'!$C$4:$C$3000,'Resumo por Equipamento'!$B$4:$B$3000,$A24,'Resumo por Equipamento'!$A$4:$A$3000,"&gt;="&amp;Diretoria!$B$4,'Resumo por Equipamento'!$A$4:$A$3000,"&lt;="&amp;Diretoria!$D$4))</f>
        <v/>
      </c>
      <c r="E24" s="34">
        <f>IF(Equipamentos!$A24="","",SUMIFS('Resumo por Equipamento'!$D$4:$D$3000,'Resumo por Equipamento'!$B$4:$B$3000,$A24,'Resumo por Equipamento'!$A$4:$A$3000,"&gt;="&amp;Diretoria!$B$4,'Resumo por Equipamento'!$A$4:$A$3000,"&lt;="&amp;Diretoria!$D$4))</f>
        <v/>
      </c>
      <c r="F24" s="35">
        <f>IF(Equipamentos!$A24="","",IFERROR(IF(E24=0,"—",D24/E24),"—"))</f>
        <v/>
      </c>
      <c r="G24" s="33">
        <f>IF(Equipamentos!$A24="","",SUMIFS('Resumo por Equipamento'!$F$4:$F$3000,'Resumo por Equipamento'!$B$4:$B$3000,$A24,'Resumo por Equipamento'!$A$4:$A$3000,"&gt;="&amp;Diretoria!$B$4,'Resumo por Equipamento'!$A$4:$A$3000,"&lt;="&amp;Diretoria!$D$4))</f>
        <v/>
      </c>
      <c r="H24" s="35">
        <f>IF(Equipamentos!$A24="","",IFERROR(IF(G24=0,"—",D24/G24),"—"))</f>
        <v/>
      </c>
      <c r="I24" s="33">
        <f>IF(Equipamentos!$A24="","",SUMIFS('Resumo por Equipamento'!$H$4:$H$3000,'Resumo por Equipamento'!$B$4:$B$3000,$A24,'Resumo por Equipamento'!$A$4:$A$3000,"&gt;="&amp;Diretoria!$B$4,'Resumo por Equipamento'!$A$4:$A$3000,"&lt;="&amp;Diretoria!$D$4))</f>
        <v/>
      </c>
      <c r="J24" s="35">
        <f>IF(Equipamentos!$A24="","",IFERROR(IF(OR(D24=0,I24=0),"—",I24/D24),"—"))</f>
        <v/>
      </c>
      <c r="K24" s="33">
        <f>IF(Equipamentos!$A24="","",SUMIFS('Resumo por Equipamento'!$J$4:$J$3000,'Resumo por Equipamento'!$B$4:$B$3000,$A24,'Resumo por Equipamento'!$A$4:$A$3000,"&gt;="&amp;Diretoria!$B$4,'Resumo por Equipamento'!$A$4:$A$3000,"&lt;="&amp;Diretoria!$D$4))</f>
        <v/>
      </c>
    </row>
    <row r="25">
      <c r="A25" s="22">
        <f>IF(Equipamentos!$A25="","",Equipamentos!$A25)</f>
        <v/>
      </c>
      <c r="B25" s="36">
        <f>IF(Equipamentos!$A25="","",Equipamentos!$B25)</f>
        <v/>
      </c>
      <c r="C25" s="37">
        <f>IF(Equipamentos!$A25="","",COUNTIFS('Resumo por Equipamento'!$B$4:$B$3000,$A25,'Resumo por Equipamento'!$A$4:$A$3000,"&gt;="&amp;Diretoria!$B$4,'Resumo por Equipamento'!$A$4:$A$3000,"&lt;="&amp;Diretoria!$D$4,'Resumo por Equipamento'!$C$4:$C$3000,"&gt;0"))</f>
        <v/>
      </c>
      <c r="D25" s="37">
        <f>IF(Equipamentos!$A25="","",SUMIFS('Resumo por Equipamento'!$C$4:$C$3000,'Resumo por Equipamento'!$B$4:$B$3000,$A25,'Resumo por Equipamento'!$A$4:$A$3000,"&gt;="&amp;Diretoria!$B$4,'Resumo por Equipamento'!$A$4:$A$3000,"&lt;="&amp;Diretoria!$D$4))</f>
        <v/>
      </c>
      <c r="E25" s="38">
        <f>IF(Equipamentos!$A25="","",SUMIFS('Resumo por Equipamento'!$D$4:$D$3000,'Resumo por Equipamento'!$B$4:$B$3000,$A25,'Resumo por Equipamento'!$A$4:$A$3000,"&gt;="&amp;Diretoria!$B$4,'Resumo por Equipamento'!$A$4:$A$3000,"&lt;="&amp;Diretoria!$D$4))</f>
        <v/>
      </c>
      <c r="F25" s="39">
        <f>IF(Equipamentos!$A25="","",IFERROR(IF(E25=0,"—",D25/E25),"—"))</f>
        <v/>
      </c>
      <c r="G25" s="37">
        <f>IF(Equipamentos!$A25="","",SUMIFS('Resumo por Equipamento'!$F$4:$F$3000,'Resumo por Equipamento'!$B$4:$B$3000,$A25,'Resumo por Equipamento'!$A$4:$A$3000,"&gt;="&amp;Diretoria!$B$4,'Resumo por Equipamento'!$A$4:$A$3000,"&lt;="&amp;Diretoria!$D$4))</f>
        <v/>
      </c>
      <c r="H25" s="39">
        <f>IF(Equipamentos!$A25="","",IFERROR(IF(G25=0,"—",D25/G25),"—"))</f>
        <v/>
      </c>
      <c r="I25" s="37">
        <f>IF(Equipamentos!$A25="","",SUMIFS('Resumo por Equipamento'!$H$4:$H$3000,'Resumo por Equipamento'!$B$4:$B$3000,$A25,'Resumo por Equipamento'!$A$4:$A$3000,"&gt;="&amp;Diretoria!$B$4,'Resumo por Equipamento'!$A$4:$A$3000,"&lt;="&amp;Diretoria!$D$4))</f>
        <v/>
      </c>
      <c r="J25" s="39">
        <f>IF(Equipamentos!$A25="","",IFERROR(IF(OR(D25=0,I25=0),"—",I25/D25),"—"))</f>
        <v/>
      </c>
      <c r="K25" s="37">
        <f>IF(Equipamentos!$A25="","",SUMIFS('Resumo por Equipamento'!$J$4:$J$3000,'Resumo por Equipamento'!$B$4:$B$3000,$A25,'Resumo por Equipamento'!$A$4:$A$3000,"&gt;="&amp;Diretoria!$B$4,'Resumo por Equipamento'!$A$4:$A$3000,"&lt;="&amp;Diretoria!$D$4))</f>
        <v/>
      </c>
    </row>
    <row r="26">
      <c r="A26" s="31">
        <f>IF(Equipamentos!$A26="","",Equipamentos!$A26)</f>
        <v/>
      </c>
      <c r="B26" s="32">
        <f>IF(Equipamentos!$A26="","",Equipamentos!$B26)</f>
        <v/>
      </c>
      <c r="C26" s="33">
        <f>IF(Equipamentos!$A26="","",COUNTIFS('Resumo por Equipamento'!$B$4:$B$3000,$A26,'Resumo por Equipamento'!$A$4:$A$3000,"&gt;="&amp;Diretoria!$B$4,'Resumo por Equipamento'!$A$4:$A$3000,"&lt;="&amp;Diretoria!$D$4,'Resumo por Equipamento'!$C$4:$C$3000,"&gt;0"))</f>
        <v/>
      </c>
      <c r="D26" s="33">
        <f>IF(Equipamentos!$A26="","",SUMIFS('Resumo por Equipamento'!$C$4:$C$3000,'Resumo por Equipamento'!$B$4:$B$3000,$A26,'Resumo por Equipamento'!$A$4:$A$3000,"&gt;="&amp;Diretoria!$B$4,'Resumo por Equipamento'!$A$4:$A$3000,"&lt;="&amp;Diretoria!$D$4))</f>
        <v/>
      </c>
      <c r="E26" s="34">
        <f>IF(Equipamentos!$A26="","",SUMIFS('Resumo por Equipamento'!$D$4:$D$3000,'Resumo por Equipamento'!$B$4:$B$3000,$A26,'Resumo por Equipamento'!$A$4:$A$3000,"&gt;="&amp;Diretoria!$B$4,'Resumo por Equipamento'!$A$4:$A$3000,"&lt;="&amp;Diretoria!$D$4))</f>
        <v/>
      </c>
      <c r="F26" s="35">
        <f>IF(Equipamentos!$A26="","",IFERROR(IF(E26=0,"—",D26/E26),"—"))</f>
        <v/>
      </c>
      <c r="G26" s="33">
        <f>IF(Equipamentos!$A26="","",SUMIFS('Resumo por Equipamento'!$F$4:$F$3000,'Resumo por Equipamento'!$B$4:$B$3000,$A26,'Resumo por Equipamento'!$A$4:$A$3000,"&gt;="&amp;Diretoria!$B$4,'Resumo por Equipamento'!$A$4:$A$3000,"&lt;="&amp;Diretoria!$D$4))</f>
        <v/>
      </c>
      <c r="H26" s="35">
        <f>IF(Equipamentos!$A26="","",IFERROR(IF(G26=0,"—",D26/G26),"—"))</f>
        <v/>
      </c>
      <c r="I26" s="33">
        <f>IF(Equipamentos!$A26="","",SUMIFS('Resumo por Equipamento'!$H$4:$H$3000,'Resumo por Equipamento'!$B$4:$B$3000,$A26,'Resumo por Equipamento'!$A$4:$A$3000,"&gt;="&amp;Diretoria!$B$4,'Resumo por Equipamento'!$A$4:$A$3000,"&lt;="&amp;Diretoria!$D$4))</f>
        <v/>
      </c>
      <c r="J26" s="35">
        <f>IF(Equipamentos!$A26="","",IFERROR(IF(OR(D26=0,I26=0),"—",I26/D26),"—"))</f>
        <v/>
      </c>
      <c r="K26" s="33">
        <f>IF(Equipamentos!$A26="","",SUMIFS('Resumo por Equipamento'!$J$4:$J$3000,'Resumo por Equipamento'!$B$4:$B$3000,$A26,'Resumo por Equipamento'!$A$4:$A$3000,"&gt;="&amp;Diretoria!$B$4,'Resumo por Equipamento'!$A$4:$A$3000,"&lt;="&amp;Diretoria!$D$4))</f>
        <v/>
      </c>
    </row>
    <row r="27">
      <c r="A27" s="22">
        <f>IF(Equipamentos!$A27="","",Equipamentos!$A27)</f>
        <v/>
      </c>
      <c r="B27" s="36">
        <f>IF(Equipamentos!$A27="","",Equipamentos!$B27)</f>
        <v/>
      </c>
      <c r="C27" s="37">
        <f>IF(Equipamentos!$A27="","",COUNTIFS('Resumo por Equipamento'!$B$4:$B$3000,$A27,'Resumo por Equipamento'!$A$4:$A$3000,"&gt;="&amp;Diretoria!$B$4,'Resumo por Equipamento'!$A$4:$A$3000,"&lt;="&amp;Diretoria!$D$4,'Resumo por Equipamento'!$C$4:$C$3000,"&gt;0"))</f>
        <v/>
      </c>
      <c r="D27" s="37">
        <f>IF(Equipamentos!$A27="","",SUMIFS('Resumo por Equipamento'!$C$4:$C$3000,'Resumo por Equipamento'!$B$4:$B$3000,$A27,'Resumo por Equipamento'!$A$4:$A$3000,"&gt;="&amp;Diretoria!$B$4,'Resumo por Equipamento'!$A$4:$A$3000,"&lt;="&amp;Diretoria!$D$4))</f>
        <v/>
      </c>
      <c r="E27" s="38">
        <f>IF(Equipamentos!$A27="","",SUMIFS('Resumo por Equipamento'!$D$4:$D$3000,'Resumo por Equipamento'!$B$4:$B$3000,$A27,'Resumo por Equipamento'!$A$4:$A$3000,"&gt;="&amp;Diretoria!$B$4,'Resumo por Equipamento'!$A$4:$A$3000,"&lt;="&amp;Diretoria!$D$4))</f>
        <v/>
      </c>
      <c r="F27" s="39">
        <f>IF(Equipamentos!$A27="","",IFERROR(IF(E27=0,"—",D27/E27),"—"))</f>
        <v/>
      </c>
      <c r="G27" s="37">
        <f>IF(Equipamentos!$A27="","",SUMIFS('Resumo por Equipamento'!$F$4:$F$3000,'Resumo por Equipamento'!$B$4:$B$3000,$A27,'Resumo por Equipamento'!$A$4:$A$3000,"&gt;="&amp;Diretoria!$B$4,'Resumo por Equipamento'!$A$4:$A$3000,"&lt;="&amp;Diretoria!$D$4))</f>
        <v/>
      </c>
      <c r="H27" s="39">
        <f>IF(Equipamentos!$A27="","",IFERROR(IF(G27=0,"—",D27/G27),"—"))</f>
        <v/>
      </c>
      <c r="I27" s="37">
        <f>IF(Equipamentos!$A27="","",SUMIFS('Resumo por Equipamento'!$H$4:$H$3000,'Resumo por Equipamento'!$B$4:$B$3000,$A27,'Resumo por Equipamento'!$A$4:$A$3000,"&gt;="&amp;Diretoria!$B$4,'Resumo por Equipamento'!$A$4:$A$3000,"&lt;="&amp;Diretoria!$D$4))</f>
        <v/>
      </c>
      <c r="J27" s="39">
        <f>IF(Equipamentos!$A27="","",IFERROR(IF(OR(D27=0,I27=0),"—",I27/D27),"—"))</f>
        <v/>
      </c>
      <c r="K27" s="37">
        <f>IF(Equipamentos!$A27="","",SUMIFS('Resumo por Equipamento'!$J$4:$J$3000,'Resumo por Equipamento'!$B$4:$B$3000,$A27,'Resumo por Equipamento'!$A$4:$A$3000,"&gt;="&amp;Diretoria!$B$4,'Resumo por Equipamento'!$A$4:$A$3000,"&lt;="&amp;Diretoria!$D$4))</f>
        <v/>
      </c>
    </row>
    <row r="28">
      <c r="A28" s="31">
        <f>IF(Equipamentos!$A28="","",Equipamentos!$A28)</f>
        <v/>
      </c>
      <c r="B28" s="32">
        <f>IF(Equipamentos!$A28="","",Equipamentos!$B28)</f>
        <v/>
      </c>
      <c r="C28" s="33">
        <f>IF(Equipamentos!$A28="","",COUNTIFS('Resumo por Equipamento'!$B$4:$B$3000,$A28,'Resumo por Equipamento'!$A$4:$A$3000,"&gt;="&amp;Diretoria!$B$4,'Resumo por Equipamento'!$A$4:$A$3000,"&lt;="&amp;Diretoria!$D$4,'Resumo por Equipamento'!$C$4:$C$3000,"&gt;0"))</f>
        <v/>
      </c>
      <c r="D28" s="33">
        <f>IF(Equipamentos!$A28="","",SUMIFS('Resumo por Equipamento'!$C$4:$C$3000,'Resumo por Equipamento'!$B$4:$B$3000,$A28,'Resumo por Equipamento'!$A$4:$A$3000,"&gt;="&amp;Diretoria!$B$4,'Resumo por Equipamento'!$A$4:$A$3000,"&lt;="&amp;Diretoria!$D$4))</f>
        <v/>
      </c>
      <c r="E28" s="34">
        <f>IF(Equipamentos!$A28="","",SUMIFS('Resumo por Equipamento'!$D$4:$D$3000,'Resumo por Equipamento'!$B$4:$B$3000,$A28,'Resumo por Equipamento'!$A$4:$A$3000,"&gt;="&amp;Diretoria!$B$4,'Resumo por Equipamento'!$A$4:$A$3000,"&lt;="&amp;Diretoria!$D$4))</f>
        <v/>
      </c>
      <c r="F28" s="35">
        <f>IF(Equipamentos!$A28="","",IFERROR(IF(E28=0,"—",D28/E28),"—"))</f>
        <v/>
      </c>
      <c r="G28" s="33">
        <f>IF(Equipamentos!$A28="","",SUMIFS('Resumo por Equipamento'!$F$4:$F$3000,'Resumo por Equipamento'!$B$4:$B$3000,$A28,'Resumo por Equipamento'!$A$4:$A$3000,"&gt;="&amp;Diretoria!$B$4,'Resumo por Equipamento'!$A$4:$A$3000,"&lt;="&amp;Diretoria!$D$4))</f>
        <v/>
      </c>
      <c r="H28" s="35">
        <f>IF(Equipamentos!$A28="","",IFERROR(IF(G28=0,"—",D28/G28),"—"))</f>
        <v/>
      </c>
      <c r="I28" s="33">
        <f>IF(Equipamentos!$A28="","",SUMIFS('Resumo por Equipamento'!$H$4:$H$3000,'Resumo por Equipamento'!$B$4:$B$3000,$A28,'Resumo por Equipamento'!$A$4:$A$3000,"&gt;="&amp;Diretoria!$B$4,'Resumo por Equipamento'!$A$4:$A$3000,"&lt;="&amp;Diretoria!$D$4))</f>
        <v/>
      </c>
      <c r="J28" s="35">
        <f>IF(Equipamentos!$A28="","",IFERROR(IF(OR(D28=0,I28=0),"—",I28/D28),"—"))</f>
        <v/>
      </c>
      <c r="K28" s="33">
        <f>IF(Equipamentos!$A28="","",SUMIFS('Resumo por Equipamento'!$J$4:$J$3000,'Resumo por Equipamento'!$B$4:$B$3000,$A28,'Resumo por Equipamento'!$A$4:$A$3000,"&gt;="&amp;Diretoria!$B$4,'Resumo por Equipamento'!$A$4:$A$3000,"&lt;="&amp;Diretoria!$D$4))</f>
        <v/>
      </c>
    </row>
    <row r="29">
      <c r="A29" s="22">
        <f>IF(Equipamentos!$A29="","",Equipamentos!$A29)</f>
        <v/>
      </c>
      <c r="B29" s="36">
        <f>IF(Equipamentos!$A29="","",Equipamentos!$B29)</f>
        <v/>
      </c>
      <c r="C29" s="37">
        <f>IF(Equipamentos!$A29="","",COUNTIFS('Resumo por Equipamento'!$B$4:$B$3000,$A29,'Resumo por Equipamento'!$A$4:$A$3000,"&gt;="&amp;Diretoria!$B$4,'Resumo por Equipamento'!$A$4:$A$3000,"&lt;="&amp;Diretoria!$D$4,'Resumo por Equipamento'!$C$4:$C$3000,"&gt;0"))</f>
        <v/>
      </c>
      <c r="D29" s="37">
        <f>IF(Equipamentos!$A29="","",SUMIFS('Resumo por Equipamento'!$C$4:$C$3000,'Resumo por Equipamento'!$B$4:$B$3000,$A29,'Resumo por Equipamento'!$A$4:$A$3000,"&gt;="&amp;Diretoria!$B$4,'Resumo por Equipamento'!$A$4:$A$3000,"&lt;="&amp;Diretoria!$D$4))</f>
        <v/>
      </c>
      <c r="E29" s="38">
        <f>IF(Equipamentos!$A29="","",SUMIFS('Resumo por Equipamento'!$D$4:$D$3000,'Resumo por Equipamento'!$B$4:$B$3000,$A29,'Resumo por Equipamento'!$A$4:$A$3000,"&gt;="&amp;Diretoria!$B$4,'Resumo por Equipamento'!$A$4:$A$3000,"&lt;="&amp;Diretoria!$D$4))</f>
        <v/>
      </c>
      <c r="F29" s="39">
        <f>IF(Equipamentos!$A29="","",IFERROR(IF(E29=0,"—",D29/E29),"—"))</f>
        <v/>
      </c>
      <c r="G29" s="37">
        <f>IF(Equipamentos!$A29="","",SUMIFS('Resumo por Equipamento'!$F$4:$F$3000,'Resumo por Equipamento'!$B$4:$B$3000,$A29,'Resumo por Equipamento'!$A$4:$A$3000,"&gt;="&amp;Diretoria!$B$4,'Resumo por Equipamento'!$A$4:$A$3000,"&lt;="&amp;Diretoria!$D$4))</f>
        <v/>
      </c>
      <c r="H29" s="39">
        <f>IF(Equipamentos!$A29="","",IFERROR(IF(G29=0,"—",D29/G29),"—"))</f>
        <v/>
      </c>
      <c r="I29" s="37">
        <f>IF(Equipamentos!$A29="","",SUMIFS('Resumo por Equipamento'!$H$4:$H$3000,'Resumo por Equipamento'!$B$4:$B$3000,$A29,'Resumo por Equipamento'!$A$4:$A$3000,"&gt;="&amp;Diretoria!$B$4,'Resumo por Equipamento'!$A$4:$A$3000,"&lt;="&amp;Diretoria!$D$4))</f>
        <v/>
      </c>
      <c r="J29" s="39">
        <f>IF(Equipamentos!$A29="","",IFERROR(IF(OR(D29=0,I29=0),"—",I29/D29),"—"))</f>
        <v/>
      </c>
      <c r="K29" s="37">
        <f>IF(Equipamentos!$A29="","",SUMIFS('Resumo por Equipamento'!$J$4:$J$3000,'Resumo por Equipamento'!$B$4:$B$3000,$A29,'Resumo por Equipamento'!$A$4:$A$3000,"&gt;="&amp;Diretoria!$B$4,'Resumo por Equipamento'!$A$4:$A$3000,"&lt;="&amp;Diretoria!$D$4))</f>
        <v/>
      </c>
    </row>
    <row r="30">
      <c r="A30" s="31">
        <f>IF(Equipamentos!$A30="","",Equipamentos!$A30)</f>
        <v/>
      </c>
      <c r="B30" s="32">
        <f>IF(Equipamentos!$A30="","",Equipamentos!$B30)</f>
        <v/>
      </c>
      <c r="C30" s="33">
        <f>IF(Equipamentos!$A30="","",COUNTIFS('Resumo por Equipamento'!$B$4:$B$3000,$A30,'Resumo por Equipamento'!$A$4:$A$3000,"&gt;="&amp;Diretoria!$B$4,'Resumo por Equipamento'!$A$4:$A$3000,"&lt;="&amp;Diretoria!$D$4,'Resumo por Equipamento'!$C$4:$C$3000,"&gt;0"))</f>
        <v/>
      </c>
      <c r="D30" s="33">
        <f>IF(Equipamentos!$A30="","",SUMIFS('Resumo por Equipamento'!$C$4:$C$3000,'Resumo por Equipamento'!$B$4:$B$3000,$A30,'Resumo por Equipamento'!$A$4:$A$3000,"&gt;="&amp;Diretoria!$B$4,'Resumo por Equipamento'!$A$4:$A$3000,"&lt;="&amp;Diretoria!$D$4))</f>
        <v/>
      </c>
      <c r="E30" s="34">
        <f>IF(Equipamentos!$A30="","",SUMIFS('Resumo por Equipamento'!$D$4:$D$3000,'Resumo por Equipamento'!$B$4:$B$3000,$A30,'Resumo por Equipamento'!$A$4:$A$3000,"&gt;="&amp;Diretoria!$B$4,'Resumo por Equipamento'!$A$4:$A$3000,"&lt;="&amp;Diretoria!$D$4))</f>
        <v/>
      </c>
      <c r="F30" s="35">
        <f>IF(Equipamentos!$A30="","",IFERROR(IF(E30=0,"—",D30/E30),"—"))</f>
        <v/>
      </c>
      <c r="G30" s="33">
        <f>IF(Equipamentos!$A30="","",SUMIFS('Resumo por Equipamento'!$F$4:$F$3000,'Resumo por Equipamento'!$B$4:$B$3000,$A30,'Resumo por Equipamento'!$A$4:$A$3000,"&gt;="&amp;Diretoria!$B$4,'Resumo por Equipamento'!$A$4:$A$3000,"&lt;="&amp;Diretoria!$D$4))</f>
        <v/>
      </c>
      <c r="H30" s="35">
        <f>IF(Equipamentos!$A30="","",IFERROR(IF(G30=0,"—",D30/G30),"—"))</f>
        <v/>
      </c>
      <c r="I30" s="33">
        <f>IF(Equipamentos!$A30="","",SUMIFS('Resumo por Equipamento'!$H$4:$H$3000,'Resumo por Equipamento'!$B$4:$B$3000,$A30,'Resumo por Equipamento'!$A$4:$A$3000,"&gt;="&amp;Diretoria!$B$4,'Resumo por Equipamento'!$A$4:$A$3000,"&lt;="&amp;Diretoria!$D$4))</f>
        <v/>
      </c>
      <c r="J30" s="35">
        <f>IF(Equipamentos!$A30="","",IFERROR(IF(OR(D30=0,I30=0),"—",I30/D30),"—"))</f>
        <v/>
      </c>
      <c r="K30" s="33">
        <f>IF(Equipamentos!$A30="","",SUMIFS('Resumo por Equipamento'!$J$4:$J$3000,'Resumo por Equipamento'!$B$4:$B$3000,$A30,'Resumo por Equipamento'!$A$4:$A$3000,"&gt;="&amp;Diretoria!$B$4,'Resumo por Equipamento'!$A$4:$A$3000,"&lt;="&amp;Diretoria!$D$4))</f>
        <v/>
      </c>
    </row>
    <row r="31">
      <c r="A31" s="22">
        <f>IF(Equipamentos!$A31="","",Equipamentos!$A31)</f>
        <v/>
      </c>
      <c r="B31" s="36">
        <f>IF(Equipamentos!$A31="","",Equipamentos!$B31)</f>
        <v/>
      </c>
      <c r="C31" s="37">
        <f>IF(Equipamentos!$A31="","",COUNTIFS('Resumo por Equipamento'!$B$4:$B$3000,$A31,'Resumo por Equipamento'!$A$4:$A$3000,"&gt;="&amp;Diretoria!$B$4,'Resumo por Equipamento'!$A$4:$A$3000,"&lt;="&amp;Diretoria!$D$4,'Resumo por Equipamento'!$C$4:$C$3000,"&gt;0"))</f>
        <v/>
      </c>
      <c r="D31" s="37">
        <f>IF(Equipamentos!$A31="","",SUMIFS('Resumo por Equipamento'!$C$4:$C$3000,'Resumo por Equipamento'!$B$4:$B$3000,$A31,'Resumo por Equipamento'!$A$4:$A$3000,"&gt;="&amp;Diretoria!$B$4,'Resumo por Equipamento'!$A$4:$A$3000,"&lt;="&amp;Diretoria!$D$4))</f>
        <v/>
      </c>
      <c r="E31" s="38">
        <f>IF(Equipamentos!$A31="","",SUMIFS('Resumo por Equipamento'!$D$4:$D$3000,'Resumo por Equipamento'!$B$4:$B$3000,$A31,'Resumo por Equipamento'!$A$4:$A$3000,"&gt;="&amp;Diretoria!$B$4,'Resumo por Equipamento'!$A$4:$A$3000,"&lt;="&amp;Diretoria!$D$4))</f>
        <v/>
      </c>
      <c r="F31" s="39">
        <f>IF(Equipamentos!$A31="","",IFERROR(IF(E31=0,"—",D31/E31),"—"))</f>
        <v/>
      </c>
      <c r="G31" s="37">
        <f>IF(Equipamentos!$A31="","",SUMIFS('Resumo por Equipamento'!$F$4:$F$3000,'Resumo por Equipamento'!$B$4:$B$3000,$A31,'Resumo por Equipamento'!$A$4:$A$3000,"&gt;="&amp;Diretoria!$B$4,'Resumo por Equipamento'!$A$4:$A$3000,"&lt;="&amp;Diretoria!$D$4))</f>
        <v/>
      </c>
      <c r="H31" s="39">
        <f>IF(Equipamentos!$A31="","",IFERROR(IF(G31=0,"—",D31/G31),"—"))</f>
        <v/>
      </c>
      <c r="I31" s="37">
        <f>IF(Equipamentos!$A31="","",SUMIFS('Resumo por Equipamento'!$H$4:$H$3000,'Resumo por Equipamento'!$B$4:$B$3000,$A31,'Resumo por Equipamento'!$A$4:$A$3000,"&gt;="&amp;Diretoria!$B$4,'Resumo por Equipamento'!$A$4:$A$3000,"&lt;="&amp;Diretoria!$D$4))</f>
        <v/>
      </c>
      <c r="J31" s="39">
        <f>IF(Equipamentos!$A31="","",IFERROR(IF(OR(D31=0,I31=0),"—",I31/D31),"—"))</f>
        <v/>
      </c>
      <c r="K31" s="37">
        <f>IF(Equipamentos!$A31="","",SUMIFS('Resumo por Equipamento'!$J$4:$J$3000,'Resumo por Equipamento'!$B$4:$B$3000,$A31,'Resumo por Equipamento'!$A$4:$A$3000,"&gt;="&amp;Diretoria!$B$4,'Resumo por Equipamento'!$A$4:$A$3000,"&lt;="&amp;Diretoria!$D$4))</f>
        <v/>
      </c>
    </row>
    <row r="32">
      <c r="A32" s="31">
        <f>IF(Equipamentos!$A32="","",Equipamentos!$A32)</f>
        <v/>
      </c>
      <c r="B32" s="32">
        <f>IF(Equipamentos!$A32="","",Equipamentos!$B32)</f>
        <v/>
      </c>
      <c r="C32" s="33">
        <f>IF(Equipamentos!$A32="","",COUNTIFS('Resumo por Equipamento'!$B$4:$B$3000,$A32,'Resumo por Equipamento'!$A$4:$A$3000,"&gt;="&amp;Diretoria!$B$4,'Resumo por Equipamento'!$A$4:$A$3000,"&lt;="&amp;Diretoria!$D$4,'Resumo por Equipamento'!$C$4:$C$3000,"&gt;0"))</f>
        <v/>
      </c>
      <c r="D32" s="33">
        <f>IF(Equipamentos!$A32="","",SUMIFS('Resumo por Equipamento'!$C$4:$C$3000,'Resumo por Equipamento'!$B$4:$B$3000,$A32,'Resumo por Equipamento'!$A$4:$A$3000,"&gt;="&amp;Diretoria!$B$4,'Resumo por Equipamento'!$A$4:$A$3000,"&lt;="&amp;Diretoria!$D$4))</f>
        <v/>
      </c>
      <c r="E32" s="34">
        <f>IF(Equipamentos!$A32="","",SUMIFS('Resumo por Equipamento'!$D$4:$D$3000,'Resumo por Equipamento'!$B$4:$B$3000,$A32,'Resumo por Equipamento'!$A$4:$A$3000,"&gt;="&amp;Diretoria!$B$4,'Resumo por Equipamento'!$A$4:$A$3000,"&lt;="&amp;Diretoria!$D$4))</f>
        <v/>
      </c>
      <c r="F32" s="35">
        <f>IF(Equipamentos!$A32="","",IFERROR(IF(E32=0,"—",D32/E32),"—"))</f>
        <v/>
      </c>
      <c r="G32" s="33">
        <f>IF(Equipamentos!$A32="","",SUMIFS('Resumo por Equipamento'!$F$4:$F$3000,'Resumo por Equipamento'!$B$4:$B$3000,$A32,'Resumo por Equipamento'!$A$4:$A$3000,"&gt;="&amp;Diretoria!$B$4,'Resumo por Equipamento'!$A$4:$A$3000,"&lt;="&amp;Diretoria!$D$4))</f>
        <v/>
      </c>
      <c r="H32" s="35">
        <f>IF(Equipamentos!$A32="","",IFERROR(IF(G32=0,"—",D32/G32),"—"))</f>
        <v/>
      </c>
      <c r="I32" s="33">
        <f>IF(Equipamentos!$A32="","",SUMIFS('Resumo por Equipamento'!$H$4:$H$3000,'Resumo por Equipamento'!$B$4:$B$3000,$A32,'Resumo por Equipamento'!$A$4:$A$3000,"&gt;="&amp;Diretoria!$B$4,'Resumo por Equipamento'!$A$4:$A$3000,"&lt;="&amp;Diretoria!$D$4))</f>
        <v/>
      </c>
      <c r="J32" s="35">
        <f>IF(Equipamentos!$A32="","",IFERROR(IF(OR(D32=0,I32=0),"—",I32/D32),"—"))</f>
        <v/>
      </c>
      <c r="K32" s="33">
        <f>IF(Equipamentos!$A32="","",SUMIFS('Resumo por Equipamento'!$J$4:$J$3000,'Resumo por Equipamento'!$B$4:$B$3000,$A32,'Resumo por Equipamento'!$A$4:$A$3000,"&gt;="&amp;Diretoria!$B$4,'Resumo por Equipamento'!$A$4:$A$3000,"&lt;="&amp;Diretoria!$D$4))</f>
        <v/>
      </c>
    </row>
    <row r="33">
      <c r="A33" s="22">
        <f>IF(Equipamentos!$A33="","",Equipamentos!$A33)</f>
        <v/>
      </c>
      <c r="B33" s="36">
        <f>IF(Equipamentos!$A33="","",Equipamentos!$B33)</f>
        <v/>
      </c>
      <c r="C33" s="37">
        <f>IF(Equipamentos!$A33="","",COUNTIFS('Resumo por Equipamento'!$B$4:$B$3000,$A33,'Resumo por Equipamento'!$A$4:$A$3000,"&gt;="&amp;Diretoria!$B$4,'Resumo por Equipamento'!$A$4:$A$3000,"&lt;="&amp;Diretoria!$D$4,'Resumo por Equipamento'!$C$4:$C$3000,"&gt;0"))</f>
        <v/>
      </c>
      <c r="D33" s="37">
        <f>IF(Equipamentos!$A33="","",SUMIFS('Resumo por Equipamento'!$C$4:$C$3000,'Resumo por Equipamento'!$B$4:$B$3000,$A33,'Resumo por Equipamento'!$A$4:$A$3000,"&gt;="&amp;Diretoria!$B$4,'Resumo por Equipamento'!$A$4:$A$3000,"&lt;="&amp;Diretoria!$D$4))</f>
        <v/>
      </c>
      <c r="E33" s="38">
        <f>IF(Equipamentos!$A33="","",SUMIFS('Resumo por Equipamento'!$D$4:$D$3000,'Resumo por Equipamento'!$B$4:$B$3000,$A33,'Resumo por Equipamento'!$A$4:$A$3000,"&gt;="&amp;Diretoria!$B$4,'Resumo por Equipamento'!$A$4:$A$3000,"&lt;="&amp;Diretoria!$D$4))</f>
        <v/>
      </c>
      <c r="F33" s="39">
        <f>IF(Equipamentos!$A33="","",IFERROR(IF(E33=0,"—",D33/E33),"—"))</f>
        <v/>
      </c>
      <c r="G33" s="37">
        <f>IF(Equipamentos!$A33="","",SUMIFS('Resumo por Equipamento'!$F$4:$F$3000,'Resumo por Equipamento'!$B$4:$B$3000,$A33,'Resumo por Equipamento'!$A$4:$A$3000,"&gt;="&amp;Diretoria!$B$4,'Resumo por Equipamento'!$A$4:$A$3000,"&lt;="&amp;Diretoria!$D$4))</f>
        <v/>
      </c>
      <c r="H33" s="39">
        <f>IF(Equipamentos!$A33="","",IFERROR(IF(G33=0,"—",D33/G33),"—"))</f>
        <v/>
      </c>
      <c r="I33" s="37">
        <f>IF(Equipamentos!$A33="","",SUMIFS('Resumo por Equipamento'!$H$4:$H$3000,'Resumo por Equipamento'!$B$4:$B$3000,$A33,'Resumo por Equipamento'!$A$4:$A$3000,"&gt;="&amp;Diretoria!$B$4,'Resumo por Equipamento'!$A$4:$A$3000,"&lt;="&amp;Diretoria!$D$4))</f>
        <v/>
      </c>
      <c r="J33" s="39">
        <f>IF(Equipamentos!$A33="","",IFERROR(IF(OR(D33=0,I33=0),"—",I33/D33),"—"))</f>
        <v/>
      </c>
      <c r="K33" s="37">
        <f>IF(Equipamentos!$A33="","",SUMIFS('Resumo por Equipamento'!$J$4:$J$3000,'Resumo por Equipamento'!$B$4:$B$3000,$A33,'Resumo por Equipamento'!$A$4:$A$3000,"&gt;="&amp;Diretoria!$B$4,'Resumo por Equipamento'!$A$4:$A$3000,"&lt;="&amp;Diretoria!$D$4))</f>
        <v/>
      </c>
    </row>
    <row r="35">
      <c r="A35" s="40" t="inlineStr">
        <is>
          <t>TOTAL DA FROTA</t>
        </is>
      </c>
      <c r="B35" s="40" t="n"/>
      <c r="C35" s="41">
        <f>SUM(C4:C33)</f>
        <v/>
      </c>
      <c r="D35" s="41">
        <f>SUM(D4:D33)</f>
        <v/>
      </c>
      <c r="E35" s="42">
        <f>SUM(E4:E33)</f>
        <v/>
      </c>
      <c r="F35" s="43">
        <f>IFERROR(D35/E35,"—")</f>
        <v/>
      </c>
      <c r="G35" s="41">
        <f>SUM(G4:G33)</f>
        <v/>
      </c>
      <c r="H35" s="43">
        <f>IFERROR(D35/G35,"—")</f>
        <v/>
      </c>
      <c r="I35" s="41">
        <f>SUM(I4:I33)</f>
        <v/>
      </c>
      <c r="J35" s="43">
        <f>IFERROR(I35/D35,"—")</f>
        <v/>
      </c>
      <c r="K35" s="41">
        <f>SUM(K4:K33)</f>
        <v/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</cols>
  <sheetData>
    <row r="1" ht="30" customHeight="1">
      <c r="A1" s="1" t="inlineStr">
        <is>
          <t>DESEMPENHO POR OPERADOR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Período definido na aba Diretoria. Fonte: aba Resumo por Operador (preenchida pelo app).</t>
        </is>
      </c>
    </row>
    <row r="3" ht="30" customHeight="1">
      <c r="A3" s="30" t="inlineStr">
        <is>
          <t>Operador</t>
        </is>
      </c>
      <c r="B3" s="30" t="inlineStr">
        <is>
          <t>Dias trabalhados</t>
        </is>
      </c>
      <c r="C3" s="30" t="inlineStr">
        <is>
          <t>Consumo (L)</t>
        </is>
      </c>
      <c r="D3" s="30" t="inlineStr">
        <is>
          <t>Horas</t>
        </is>
      </c>
      <c r="E3" s="30" t="inlineStr">
        <is>
          <t>L/h</t>
        </is>
      </c>
      <c r="F3" s="30" t="inlineStr">
        <is>
          <t>Produção (t)</t>
        </is>
      </c>
      <c r="G3" s="30" t="inlineStr">
        <is>
          <t>L/Ton</t>
        </is>
      </c>
      <c r="H3" s="30" t="inlineStr">
        <is>
          <t>Viagens</t>
        </is>
      </c>
    </row>
    <row r="4">
      <c r="A4" s="31">
        <f>IF(Operadores!$A4="","",Operadores!$A4)</f>
        <v/>
      </c>
      <c r="B4" s="33">
        <f>IF(Operadores!$A4="","",COUNTIFS('Resumo por Operador'!$B$4:$B$3000,$A4,'Resumo por Operador'!$A$4:$A$3000,"&gt;="&amp;Diretoria!$B$4,'Resumo por Operador'!$A$4:$A$3000,"&lt;="&amp;Diretoria!$D$4))</f>
        <v/>
      </c>
      <c r="C4" s="33">
        <f>IF(Operadores!$A4="","",SUMIFS('Resumo por Operador'!$D$4:$D$3000,'Resumo por Operador'!$B$4:$B$3000,$A4,'Resumo por Operador'!$A$4:$A$3000,"&gt;="&amp;Diretoria!$B$4,'Resumo por Operador'!$A$4:$A$3000,"&lt;="&amp;Diretoria!$D$4))</f>
        <v/>
      </c>
      <c r="D4" s="34">
        <f>IF(Operadores!$A4="","",SUMIFS('Resumo por Operador'!$E$4:$E$3000,'Resumo por Operador'!$B$4:$B$3000,$A4,'Resumo por Operador'!$A$4:$A$3000,"&gt;="&amp;Diretoria!$B$4,'Resumo por Operador'!$A$4:$A$3000,"&lt;="&amp;Diretoria!$D$4))</f>
        <v/>
      </c>
      <c r="E4" s="35">
        <f>IF(Operadores!$A4="","",IFERROR(IF(D4=0,"—",C4/D4),"—"))</f>
        <v/>
      </c>
      <c r="F4" s="33">
        <f>IF(Operadores!$A4="","",SUMIFS('Resumo por Operador'!$G$4:$G$3000,'Resumo por Operador'!$B$4:$B$3000,$A4,'Resumo por Operador'!$A$4:$A$3000,"&gt;="&amp;Diretoria!$B$4,'Resumo por Operador'!$A$4:$A$3000,"&lt;="&amp;Diretoria!$D$4))</f>
        <v/>
      </c>
      <c r="G4" s="35">
        <f>IF(Operadores!$A4="","",IFERROR(IF(F4=0,"—",C4/F4),"—"))</f>
        <v/>
      </c>
      <c r="H4" s="33">
        <f>IF(Operadores!$A4="","",SUMIFS('Resumo por Operador'!$I$4:$I$3000,'Resumo por Operador'!$B$4:$B$3000,$A4,'Resumo por Operador'!$A$4:$A$3000,"&gt;="&amp;Diretoria!$B$4,'Resumo por Operador'!$A$4:$A$3000,"&lt;="&amp;Diretoria!$D$4))</f>
        <v/>
      </c>
    </row>
    <row r="5">
      <c r="A5" s="22">
        <f>IF(Operadores!$A5="","",Operadores!$A5)</f>
        <v/>
      </c>
      <c r="B5" s="37">
        <f>IF(Operadores!$A5="","",COUNTIFS('Resumo por Operador'!$B$4:$B$3000,$A5,'Resumo por Operador'!$A$4:$A$3000,"&gt;="&amp;Diretoria!$B$4,'Resumo por Operador'!$A$4:$A$3000,"&lt;="&amp;Diretoria!$D$4))</f>
        <v/>
      </c>
      <c r="C5" s="37">
        <f>IF(Operadores!$A5="","",SUMIFS('Resumo por Operador'!$D$4:$D$3000,'Resumo por Operador'!$B$4:$B$3000,$A5,'Resumo por Operador'!$A$4:$A$3000,"&gt;="&amp;Diretoria!$B$4,'Resumo por Operador'!$A$4:$A$3000,"&lt;="&amp;Diretoria!$D$4))</f>
        <v/>
      </c>
      <c r="D5" s="38">
        <f>IF(Operadores!$A5="","",SUMIFS('Resumo por Operador'!$E$4:$E$3000,'Resumo por Operador'!$B$4:$B$3000,$A5,'Resumo por Operador'!$A$4:$A$3000,"&gt;="&amp;Diretoria!$B$4,'Resumo por Operador'!$A$4:$A$3000,"&lt;="&amp;Diretoria!$D$4))</f>
        <v/>
      </c>
      <c r="E5" s="39">
        <f>IF(Operadores!$A5="","",IFERROR(IF(D5=0,"—",C5/D5),"—"))</f>
        <v/>
      </c>
      <c r="F5" s="37">
        <f>IF(Operadores!$A5="","",SUMIFS('Resumo por Operador'!$G$4:$G$3000,'Resumo por Operador'!$B$4:$B$3000,$A5,'Resumo por Operador'!$A$4:$A$3000,"&gt;="&amp;Diretoria!$B$4,'Resumo por Operador'!$A$4:$A$3000,"&lt;="&amp;Diretoria!$D$4))</f>
        <v/>
      </c>
      <c r="G5" s="39">
        <f>IF(Operadores!$A5="","",IFERROR(IF(F5=0,"—",C5/F5),"—"))</f>
        <v/>
      </c>
      <c r="H5" s="37">
        <f>IF(Operadores!$A5="","",SUMIFS('Resumo por Operador'!$I$4:$I$3000,'Resumo por Operador'!$B$4:$B$3000,$A5,'Resumo por Operador'!$A$4:$A$3000,"&gt;="&amp;Diretoria!$B$4,'Resumo por Operador'!$A$4:$A$3000,"&lt;="&amp;Diretoria!$D$4))</f>
        <v/>
      </c>
    </row>
    <row r="6">
      <c r="A6" s="31">
        <f>IF(Operadores!$A6="","",Operadores!$A6)</f>
        <v/>
      </c>
      <c r="B6" s="33">
        <f>IF(Operadores!$A6="","",COUNTIFS('Resumo por Operador'!$B$4:$B$3000,$A6,'Resumo por Operador'!$A$4:$A$3000,"&gt;="&amp;Diretoria!$B$4,'Resumo por Operador'!$A$4:$A$3000,"&lt;="&amp;Diretoria!$D$4))</f>
        <v/>
      </c>
      <c r="C6" s="33">
        <f>IF(Operadores!$A6="","",SUMIFS('Resumo por Operador'!$D$4:$D$3000,'Resumo por Operador'!$B$4:$B$3000,$A6,'Resumo por Operador'!$A$4:$A$3000,"&gt;="&amp;Diretoria!$B$4,'Resumo por Operador'!$A$4:$A$3000,"&lt;="&amp;Diretoria!$D$4))</f>
        <v/>
      </c>
      <c r="D6" s="34">
        <f>IF(Operadores!$A6="","",SUMIFS('Resumo por Operador'!$E$4:$E$3000,'Resumo por Operador'!$B$4:$B$3000,$A6,'Resumo por Operador'!$A$4:$A$3000,"&gt;="&amp;Diretoria!$B$4,'Resumo por Operador'!$A$4:$A$3000,"&lt;="&amp;Diretoria!$D$4))</f>
        <v/>
      </c>
      <c r="E6" s="35">
        <f>IF(Operadores!$A6="","",IFERROR(IF(D6=0,"—",C6/D6),"—"))</f>
        <v/>
      </c>
      <c r="F6" s="33">
        <f>IF(Operadores!$A6="","",SUMIFS('Resumo por Operador'!$G$4:$G$3000,'Resumo por Operador'!$B$4:$B$3000,$A6,'Resumo por Operador'!$A$4:$A$3000,"&gt;="&amp;Diretoria!$B$4,'Resumo por Operador'!$A$4:$A$3000,"&lt;="&amp;Diretoria!$D$4))</f>
        <v/>
      </c>
      <c r="G6" s="35">
        <f>IF(Operadores!$A6="","",IFERROR(IF(F6=0,"—",C6/F6),"—"))</f>
        <v/>
      </c>
      <c r="H6" s="33">
        <f>IF(Operadores!$A6="","",SUMIFS('Resumo por Operador'!$I$4:$I$3000,'Resumo por Operador'!$B$4:$B$3000,$A6,'Resumo por Operador'!$A$4:$A$3000,"&gt;="&amp;Diretoria!$B$4,'Resumo por Operador'!$A$4:$A$3000,"&lt;="&amp;Diretoria!$D$4))</f>
        <v/>
      </c>
    </row>
    <row r="7">
      <c r="A7" s="22">
        <f>IF(Operadores!$A7="","",Operadores!$A7)</f>
        <v/>
      </c>
      <c r="B7" s="37">
        <f>IF(Operadores!$A7="","",COUNTIFS('Resumo por Operador'!$B$4:$B$3000,$A7,'Resumo por Operador'!$A$4:$A$3000,"&gt;="&amp;Diretoria!$B$4,'Resumo por Operador'!$A$4:$A$3000,"&lt;="&amp;Diretoria!$D$4))</f>
        <v/>
      </c>
      <c r="C7" s="37">
        <f>IF(Operadores!$A7="","",SUMIFS('Resumo por Operador'!$D$4:$D$3000,'Resumo por Operador'!$B$4:$B$3000,$A7,'Resumo por Operador'!$A$4:$A$3000,"&gt;="&amp;Diretoria!$B$4,'Resumo por Operador'!$A$4:$A$3000,"&lt;="&amp;Diretoria!$D$4))</f>
        <v/>
      </c>
      <c r="D7" s="38">
        <f>IF(Operadores!$A7="","",SUMIFS('Resumo por Operador'!$E$4:$E$3000,'Resumo por Operador'!$B$4:$B$3000,$A7,'Resumo por Operador'!$A$4:$A$3000,"&gt;="&amp;Diretoria!$B$4,'Resumo por Operador'!$A$4:$A$3000,"&lt;="&amp;Diretoria!$D$4))</f>
        <v/>
      </c>
      <c r="E7" s="39">
        <f>IF(Operadores!$A7="","",IFERROR(IF(D7=0,"—",C7/D7),"—"))</f>
        <v/>
      </c>
      <c r="F7" s="37">
        <f>IF(Operadores!$A7="","",SUMIFS('Resumo por Operador'!$G$4:$G$3000,'Resumo por Operador'!$B$4:$B$3000,$A7,'Resumo por Operador'!$A$4:$A$3000,"&gt;="&amp;Diretoria!$B$4,'Resumo por Operador'!$A$4:$A$3000,"&lt;="&amp;Diretoria!$D$4))</f>
        <v/>
      </c>
      <c r="G7" s="39">
        <f>IF(Operadores!$A7="","",IFERROR(IF(F7=0,"—",C7/F7),"—"))</f>
        <v/>
      </c>
      <c r="H7" s="37">
        <f>IF(Operadores!$A7="","",SUMIFS('Resumo por Operador'!$I$4:$I$3000,'Resumo por Operador'!$B$4:$B$3000,$A7,'Resumo por Operador'!$A$4:$A$3000,"&gt;="&amp;Diretoria!$B$4,'Resumo por Operador'!$A$4:$A$3000,"&lt;="&amp;Diretoria!$D$4))</f>
        <v/>
      </c>
    </row>
    <row r="8">
      <c r="A8" s="31">
        <f>IF(Operadores!$A8="","",Operadores!$A8)</f>
        <v/>
      </c>
      <c r="B8" s="33">
        <f>IF(Operadores!$A8="","",COUNTIFS('Resumo por Operador'!$B$4:$B$3000,$A8,'Resumo por Operador'!$A$4:$A$3000,"&gt;="&amp;Diretoria!$B$4,'Resumo por Operador'!$A$4:$A$3000,"&lt;="&amp;Diretoria!$D$4))</f>
        <v/>
      </c>
      <c r="C8" s="33">
        <f>IF(Operadores!$A8="","",SUMIFS('Resumo por Operador'!$D$4:$D$3000,'Resumo por Operador'!$B$4:$B$3000,$A8,'Resumo por Operador'!$A$4:$A$3000,"&gt;="&amp;Diretoria!$B$4,'Resumo por Operador'!$A$4:$A$3000,"&lt;="&amp;Diretoria!$D$4))</f>
        <v/>
      </c>
      <c r="D8" s="34">
        <f>IF(Operadores!$A8="","",SUMIFS('Resumo por Operador'!$E$4:$E$3000,'Resumo por Operador'!$B$4:$B$3000,$A8,'Resumo por Operador'!$A$4:$A$3000,"&gt;="&amp;Diretoria!$B$4,'Resumo por Operador'!$A$4:$A$3000,"&lt;="&amp;Diretoria!$D$4))</f>
        <v/>
      </c>
      <c r="E8" s="35">
        <f>IF(Operadores!$A8="","",IFERROR(IF(D8=0,"—",C8/D8),"—"))</f>
        <v/>
      </c>
      <c r="F8" s="33">
        <f>IF(Operadores!$A8="","",SUMIFS('Resumo por Operador'!$G$4:$G$3000,'Resumo por Operador'!$B$4:$B$3000,$A8,'Resumo por Operador'!$A$4:$A$3000,"&gt;="&amp;Diretoria!$B$4,'Resumo por Operador'!$A$4:$A$3000,"&lt;="&amp;Diretoria!$D$4))</f>
        <v/>
      </c>
      <c r="G8" s="35">
        <f>IF(Operadores!$A8="","",IFERROR(IF(F8=0,"—",C8/F8),"—"))</f>
        <v/>
      </c>
      <c r="H8" s="33">
        <f>IF(Operadores!$A8="","",SUMIFS('Resumo por Operador'!$I$4:$I$3000,'Resumo por Operador'!$B$4:$B$3000,$A8,'Resumo por Operador'!$A$4:$A$3000,"&gt;="&amp;Diretoria!$B$4,'Resumo por Operador'!$A$4:$A$3000,"&lt;="&amp;Diretoria!$D$4))</f>
        <v/>
      </c>
    </row>
    <row r="9">
      <c r="A9" s="22">
        <f>IF(Operadores!$A9="","",Operadores!$A9)</f>
        <v/>
      </c>
      <c r="B9" s="37">
        <f>IF(Operadores!$A9="","",COUNTIFS('Resumo por Operador'!$B$4:$B$3000,$A9,'Resumo por Operador'!$A$4:$A$3000,"&gt;="&amp;Diretoria!$B$4,'Resumo por Operador'!$A$4:$A$3000,"&lt;="&amp;Diretoria!$D$4))</f>
        <v/>
      </c>
      <c r="C9" s="37">
        <f>IF(Operadores!$A9="","",SUMIFS('Resumo por Operador'!$D$4:$D$3000,'Resumo por Operador'!$B$4:$B$3000,$A9,'Resumo por Operador'!$A$4:$A$3000,"&gt;="&amp;Diretoria!$B$4,'Resumo por Operador'!$A$4:$A$3000,"&lt;="&amp;Diretoria!$D$4))</f>
        <v/>
      </c>
      <c r="D9" s="38">
        <f>IF(Operadores!$A9="","",SUMIFS('Resumo por Operador'!$E$4:$E$3000,'Resumo por Operador'!$B$4:$B$3000,$A9,'Resumo por Operador'!$A$4:$A$3000,"&gt;="&amp;Diretoria!$B$4,'Resumo por Operador'!$A$4:$A$3000,"&lt;="&amp;Diretoria!$D$4))</f>
        <v/>
      </c>
      <c r="E9" s="39">
        <f>IF(Operadores!$A9="","",IFERROR(IF(D9=0,"—",C9/D9),"—"))</f>
        <v/>
      </c>
      <c r="F9" s="37">
        <f>IF(Operadores!$A9="","",SUMIFS('Resumo por Operador'!$G$4:$G$3000,'Resumo por Operador'!$B$4:$B$3000,$A9,'Resumo por Operador'!$A$4:$A$3000,"&gt;="&amp;Diretoria!$B$4,'Resumo por Operador'!$A$4:$A$3000,"&lt;="&amp;Diretoria!$D$4))</f>
        <v/>
      </c>
      <c r="G9" s="39">
        <f>IF(Operadores!$A9="","",IFERROR(IF(F9=0,"—",C9/F9),"—"))</f>
        <v/>
      </c>
      <c r="H9" s="37">
        <f>IF(Operadores!$A9="","",SUMIFS('Resumo por Operador'!$I$4:$I$3000,'Resumo por Operador'!$B$4:$B$3000,$A9,'Resumo por Operador'!$A$4:$A$3000,"&gt;="&amp;Diretoria!$B$4,'Resumo por Operador'!$A$4:$A$3000,"&lt;="&amp;Diretoria!$D$4))</f>
        <v/>
      </c>
    </row>
    <row r="10">
      <c r="A10" s="31">
        <f>IF(Operadores!$A10="","",Operadores!$A10)</f>
        <v/>
      </c>
      <c r="B10" s="33">
        <f>IF(Operadores!$A10="","",COUNTIFS('Resumo por Operador'!$B$4:$B$3000,$A10,'Resumo por Operador'!$A$4:$A$3000,"&gt;="&amp;Diretoria!$B$4,'Resumo por Operador'!$A$4:$A$3000,"&lt;="&amp;Diretoria!$D$4))</f>
        <v/>
      </c>
      <c r="C10" s="33">
        <f>IF(Operadores!$A10="","",SUMIFS('Resumo por Operador'!$D$4:$D$3000,'Resumo por Operador'!$B$4:$B$3000,$A10,'Resumo por Operador'!$A$4:$A$3000,"&gt;="&amp;Diretoria!$B$4,'Resumo por Operador'!$A$4:$A$3000,"&lt;="&amp;Diretoria!$D$4))</f>
        <v/>
      </c>
      <c r="D10" s="34">
        <f>IF(Operadores!$A10="","",SUMIFS('Resumo por Operador'!$E$4:$E$3000,'Resumo por Operador'!$B$4:$B$3000,$A10,'Resumo por Operador'!$A$4:$A$3000,"&gt;="&amp;Diretoria!$B$4,'Resumo por Operador'!$A$4:$A$3000,"&lt;="&amp;Diretoria!$D$4))</f>
        <v/>
      </c>
      <c r="E10" s="35">
        <f>IF(Operadores!$A10="","",IFERROR(IF(D10=0,"—",C10/D10),"—"))</f>
        <v/>
      </c>
      <c r="F10" s="33">
        <f>IF(Operadores!$A10="","",SUMIFS('Resumo por Operador'!$G$4:$G$3000,'Resumo por Operador'!$B$4:$B$3000,$A10,'Resumo por Operador'!$A$4:$A$3000,"&gt;="&amp;Diretoria!$B$4,'Resumo por Operador'!$A$4:$A$3000,"&lt;="&amp;Diretoria!$D$4))</f>
        <v/>
      </c>
      <c r="G10" s="35">
        <f>IF(Operadores!$A10="","",IFERROR(IF(F10=0,"—",C10/F10),"—"))</f>
        <v/>
      </c>
      <c r="H10" s="33">
        <f>IF(Operadores!$A10="","",SUMIFS('Resumo por Operador'!$I$4:$I$3000,'Resumo por Operador'!$B$4:$B$3000,$A10,'Resumo por Operador'!$A$4:$A$3000,"&gt;="&amp;Diretoria!$B$4,'Resumo por Operador'!$A$4:$A$3000,"&lt;="&amp;Diretoria!$D$4))</f>
        <v/>
      </c>
    </row>
    <row r="11">
      <c r="A11" s="22">
        <f>IF(Operadores!$A11="","",Operadores!$A11)</f>
        <v/>
      </c>
      <c r="B11" s="37">
        <f>IF(Operadores!$A11="","",COUNTIFS('Resumo por Operador'!$B$4:$B$3000,$A11,'Resumo por Operador'!$A$4:$A$3000,"&gt;="&amp;Diretoria!$B$4,'Resumo por Operador'!$A$4:$A$3000,"&lt;="&amp;Diretoria!$D$4))</f>
        <v/>
      </c>
      <c r="C11" s="37">
        <f>IF(Operadores!$A11="","",SUMIFS('Resumo por Operador'!$D$4:$D$3000,'Resumo por Operador'!$B$4:$B$3000,$A11,'Resumo por Operador'!$A$4:$A$3000,"&gt;="&amp;Diretoria!$B$4,'Resumo por Operador'!$A$4:$A$3000,"&lt;="&amp;Diretoria!$D$4))</f>
        <v/>
      </c>
      <c r="D11" s="38">
        <f>IF(Operadores!$A11="","",SUMIFS('Resumo por Operador'!$E$4:$E$3000,'Resumo por Operador'!$B$4:$B$3000,$A11,'Resumo por Operador'!$A$4:$A$3000,"&gt;="&amp;Diretoria!$B$4,'Resumo por Operador'!$A$4:$A$3000,"&lt;="&amp;Diretoria!$D$4))</f>
        <v/>
      </c>
      <c r="E11" s="39">
        <f>IF(Operadores!$A11="","",IFERROR(IF(D11=0,"—",C11/D11),"—"))</f>
        <v/>
      </c>
      <c r="F11" s="37">
        <f>IF(Operadores!$A11="","",SUMIFS('Resumo por Operador'!$G$4:$G$3000,'Resumo por Operador'!$B$4:$B$3000,$A11,'Resumo por Operador'!$A$4:$A$3000,"&gt;="&amp;Diretoria!$B$4,'Resumo por Operador'!$A$4:$A$3000,"&lt;="&amp;Diretoria!$D$4))</f>
        <v/>
      </c>
      <c r="G11" s="39">
        <f>IF(Operadores!$A11="","",IFERROR(IF(F11=0,"—",C11/F11),"—"))</f>
        <v/>
      </c>
      <c r="H11" s="37">
        <f>IF(Operadores!$A11="","",SUMIFS('Resumo por Operador'!$I$4:$I$3000,'Resumo por Operador'!$B$4:$B$3000,$A11,'Resumo por Operador'!$A$4:$A$3000,"&gt;="&amp;Diretoria!$B$4,'Resumo por Operador'!$A$4:$A$3000,"&lt;="&amp;Diretoria!$D$4))</f>
        <v/>
      </c>
    </row>
    <row r="12">
      <c r="A12" s="31">
        <f>IF(Operadores!$A12="","",Operadores!$A12)</f>
        <v/>
      </c>
      <c r="B12" s="33">
        <f>IF(Operadores!$A12="","",COUNTIFS('Resumo por Operador'!$B$4:$B$3000,$A12,'Resumo por Operador'!$A$4:$A$3000,"&gt;="&amp;Diretoria!$B$4,'Resumo por Operador'!$A$4:$A$3000,"&lt;="&amp;Diretoria!$D$4))</f>
        <v/>
      </c>
      <c r="C12" s="33">
        <f>IF(Operadores!$A12="","",SUMIFS('Resumo por Operador'!$D$4:$D$3000,'Resumo por Operador'!$B$4:$B$3000,$A12,'Resumo por Operador'!$A$4:$A$3000,"&gt;="&amp;Diretoria!$B$4,'Resumo por Operador'!$A$4:$A$3000,"&lt;="&amp;Diretoria!$D$4))</f>
        <v/>
      </c>
      <c r="D12" s="34">
        <f>IF(Operadores!$A12="","",SUMIFS('Resumo por Operador'!$E$4:$E$3000,'Resumo por Operador'!$B$4:$B$3000,$A12,'Resumo por Operador'!$A$4:$A$3000,"&gt;="&amp;Diretoria!$B$4,'Resumo por Operador'!$A$4:$A$3000,"&lt;="&amp;Diretoria!$D$4))</f>
        <v/>
      </c>
      <c r="E12" s="35">
        <f>IF(Operadores!$A12="","",IFERROR(IF(D12=0,"—",C12/D12),"—"))</f>
        <v/>
      </c>
      <c r="F12" s="33">
        <f>IF(Operadores!$A12="","",SUMIFS('Resumo por Operador'!$G$4:$G$3000,'Resumo por Operador'!$B$4:$B$3000,$A12,'Resumo por Operador'!$A$4:$A$3000,"&gt;="&amp;Diretoria!$B$4,'Resumo por Operador'!$A$4:$A$3000,"&lt;="&amp;Diretoria!$D$4))</f>
        <v/>
      </c>
      <c r="G12" s="35">
        <f>IF(Operadores!$A12="","",IFERROR(IF(F12=0,"—",C12/F12),"—"))</f>
        <v/>
      </c>
      <c r="H12" s="33">
        <f>IF(Operadores!$A12="","",SUMIFS('Resumo por Operador'!$I$4:$I$3000,'Resumo por Operador'!$B$4:$B$3000,$A12,'Resumo por Operador'!$A$4:$A$3000,"&gt;="&amp;Diretoria!$B$4,'Resumo por Operador'!$A$4:$A$3000,"&lt;="&amp;Diretoria!$D$4))</f>
        <v/>
      </c>
    </row>
    <row r="13">
      <c r="A13" s="22">
        <f>IF(Operadores!$A13="","",Operadores!$A13)</f>
        <v/>
      </c>
      <c r="B13" s="37">
        <f>IF(Operadores!$A13="","",COUNTIFS('Resumo por Operador'!$B$4:$B$3000,$A13,'Resumo por Operador'!$A$4:$A$3000,"&gt;="&amp;Diretoria!$B$4,'Resumo por Operador'!$A$4:$A$3000,"&lt;="&amp;Diretoria!$D$4))</f>
        <v/>
      </c>
      <c r="C13" s="37">
        <f>IF(Operadores!$A13="","",SUMIFS('Resumo por Operador'!$D$4:$D$3000,'Resumo por Operador'!$B$4:$B$3000,$A13,'Resumo por Operador'!$A$4:$A$3000,"&gt;="&amp;Diretoria!$B$4,'Resumo por Operador'!$A$4:$A$3000,"&lt;="&amp;Diretoria!$D$4))</f>
        <v/>
      </c>
      <c r="D13" s="38">
        <f>IF(Operadores!$A13="","",SUMIFS('Resumo por Operador'!$E$4:$E$3000,'Resumo por Operador'!$B$4:$B$3000,$A13,'Resumo por Operador'!$A$4:$A$3000,"&gt;="&amp;Diretoria!$B$4,'Resumo por Operador'!$A$4:$A$3000,"&lt;="&amp;Diretoria!$D$4))</f>
        <v/>
      </c>
      <c r="E13" s="39">
        <f>IF(Operadores!$A13="","",IFERROR(IF(D13=0,"—",C13/D13),"—"))</f>
        <v/>
      </c>
      <c r="F13" s="37">
        <f>IF(Operadores!$A13="","",SUMIFS('Resumo por Operador'!$G$4:$G$3000,'Resumo por Operador'!$B$4:$B$3000,$A13,'Resumo por Operador'!$A$4:$A$3000,"&gt;="&amp;Diretoria!$B$4,'Resumo por Operador'!$A$4:$A$3000,"&lt;="&amp;Diretoria!$D$4))</f>
        <v/>
      </c>
      <c r="G13" s="39">
        <f>IF(Operadores!$A13="","",IFERROR(IF(F13=0,"—",C13/F13),"—"))</f>
        <v/>
      </c>
      <c r="H13" s="37">
        <f>IF(Operadores!$A13="","",SUMIFS('Resumo por Operador'!$I$4:$I$3000,'Resumo por Operador'!$B$4:$B$3000,$A13,'Resumo por Operador'!$A$4:$A$3000,"&gt;="&amp;Diretoria!$B$4,'Resumo por Operador'!$A$4:$A$3000,"&lt;="&amp;Diretoria!$D$4))</f>
        <v/>
      </c>
    </row>
    <row r="14">
      <c r="A14" s="31">
        <f>IF(Operadores!$A14="","",Operadores!$A14)</f>
        <v/>
      </c>
      <c r="B14" s="33">
        <f>IF(Operadores!$A14="","",COUNTIFS('Resumo por Operador'!$B$4:$B$3000,$A14,'Resumo por Operador'!$A$4:$A$3000,"&gt;="&amp;Diretoria!$B$4,'Resumo por Operador'!$A$4:$A$3000,"&lt;="&amp;Diretoria!$D$4))</f>
        <v/>
      </c>
      <c r="C14" s="33">
        <f>IF(Operadores!$A14="","",SUMIFS('Resumo por Operador'!$D$4:$D$3000,'Resumo por Operador'!$B$4:$B$3000,$A14,'Resumo por Operador'!$A$4:$A$3000,"&gt;="&amp;Diretoria!$B$4,'Resumo por Operador'!$A$4:$A$3000,"&lt;="&amp;Diretoria!$D$4))</f>
        <v/>
      </c>
      <c r="D14" s="34">
        <f>IF(Operadores!$A14="","",SUMIFS('Resumo por Operador'!$E$4:$E$3000,'Resumo por Operador'!$B$4:$B$3000,$A14,'Resumo por Operador'!$A$4:$A$3000,"&gt;="&amp;Diretoria!$B$4,'Resumo por Operador'!$A$4:$A$3000,"&lt;="&amp;Diretoria!$D$4))</f>
        <v/>
      </c>
      <c r="E14" s="35">
        <f>IF(Operadores!$A14="","",IFERROR(IF(D14=0,"—",C14/D14),"—"))</f>
        <v/>
      </c>
      <c r="F14" s="33">
        <f>IF(Operadores!$A14="","",SUMIFS('Resumo por Operador'!$G$4:$G$3000,'Resumo por Operador'!$B$4:$B$3000,$A14,'Resumo por Operador'!$A$4:$A$3000,"&gt;="&amp;Diretoria!$B$4,'Resumo por Operador'!$A$4:$A$3000,"&lt;="&amp;Diretoria!$D$4))</f>
        <v/>
      </c>
      <c r="G14" s="35">
        <f>IF(Operadores!$A14="","",IFERROR(IF(F14=0,"—",C14/F14),"—"))</f>
        <v/>
      </c>
      <c r="H14" s="33">
        <f>IF(Operadores!$A14="","",SUMIFS('Resumo por Operador'!$I$4:$I$3000,'Resumo por Operador'!$B$4:$B$3000,$A14,'Resumo por Operador'!$A$4:$A$3000,"&gt;="&amp;Diretoria!$B$4,'Resumo por Operador'!$A$4:$A$3000,"&lt;="&amp;Diretoria!$D$4))</f>
        <v/>
      </c>
    </row>
    <row r="15">
      <c r="A15" s="22">
        <f>IF(Operadores!$A15="","",Operadores!$A15)</f>
        <v/>
      </c>
      <c r="B15" s="37">
        <f>IF(Operadores!$A15="","",COUNTIFS('Resumo por Operador'!$B$4:$B$3000,$A15,'Resumo por Operador'!$A$4:$A$3000,"&gt;="&amp;Diretoria!$B$4,'Resumo por Operador'!$A$4:$A$3000,"&lt;="&amp;Diretoria!$D$4))</f>
        <v/>
      </c>
      <c r="C15" s="37">
        <f>IF(Operadores!$A15="","",SUMIFS('Resumo por Operador'!$D$4:$D$3000,'Resumo por Operador'!$B$4:$B$3000,$A15,'Resumo por Operador'!$A$4:$A$3000,"&gt;="&amp;Diretoria!$B$4,'Resumo por Operador'!$A$4:$A$3000,"&lt;="&amp;Diretoria!$D$4))</f>
        <v/>
      </c>
      <c r="D15" s="38">
        <f>IF(Operadores!$A15="","",SUMIFS('Resumo por Operador'!$E$4:$E$3000,'Resumo por Operador'!$B$4:$B$3000,$A15,'Resumo por Operador'!$A$4:$A$3000,"&gt;="&amp;Diretoria!$B$4,'Resumo por Operador'!$A$4:$A$3000,"&lt;="&amp;Diretoria!$D$4))</f>
        <v/>
      </c>
      <c r="E15" s="39">
        <f>IF(Operadores!$A15="","",IFERROR(IF(D15=0,"—",C15/D15),"—"))</f>
        <v/>
      </c>
      <c r="F15" s="37">
        <f>IF(Operadores!$A15="","",SUMIFS('Resumo por Operador'!$G$4:$G$3000,'Resumo por Operador'!$B$4:$B$3000,$A15,'Resumo por Operador'!$A$4:$A$3000,"&gt;="&amp;Diretoria!$B$4,'Resumo por Operador'!$A$4:$A$3000,"&lt;="&amp;Diretoria!$D$4))</f>
        <v/>
      </c>
      <c r="G15" s="39">
        <f>IF(Operadores!$A15="","",IFERROR(IF(F15=0,"—",C15/F15),"—"))</f>
        <v/>
      </c>
      <c r="H15" s="37">
        <f>IF(Operadores!$A15="","",SUMIFS('Resumo por Operador'!$I$4:$I$3000,'Resumo por Operador'!$B$4:$B$3000,$A15,'Resumo por Operador'!$A$4:$A$3000,"&gt;="&amp;Diretoria!$B$4,'Resumo por Operador'!$A$4:$A$3000,"&lt;="&amp;Diretoria!$D$4))</f>
        <v/>
      </c>
    </row>
    <row r="16">
      <c r="A16" s="31">
        <f>IF(Operadores!$A16="","",Operadores!$A16)</f>
        <v/>
      </c>
      <c r="B16" s="33">
        <f>IF(Operadores!$A16="","",COUNTIFS('Resumo por Operador'!$B$4:$B$3000,$A16,'Resumo por Operador'!$A$4:$A$3000,"&gt;="&amp;Diretoria!$B$4,'Resumo por Operador'!$A$4:$A$3000,"&lt;="&amp;Diretoria!$D$4))</f>
        <v/>
      </c>
      <c r="C16" s="33">
        <f>IF(Operadores!$A16="","",SUMIFS('Resumo por Operador'!$D$4:$D$3000,'Resumo por Operador'!$B$4:$B$3000,$A16,'Resumo por Operador'!$A$4:$A$3000,"&gt;="&amp;Diretoria!$B$4,'Resumo por Operador'!$A$4:$A$3000,"&lt;="&amp;Diretoria!$D$4))</f>
        <v/>
      </c>
      <c r="D16" s="34">
        <f>IF(Operadores!$A16="","",SUMIFS('Resumo por Operador'!$E$4:$E$3000,'Resumo por Operador'!$B$4:$B$3000,$A16,'Resumo por Operador'!$A$4:$A$3000,"&gt;="&amp;Diretoria!$B$4,'Resumo por Operador'!$A$4:$A$3000,"&lt;="&amp;Diretoria!$D$4))</f>
        <v/>
      </c>
      <c r="E16" s="35">
        <f>IF(Operadores!$A16="","",IFERROR(IF(D16=0,"—",C16/D16),"—"))</f>
        <v/>
      </c>
      <c r="F16" s="33">
        <f>IF(Operadores!$A16="","",SUMIFS('Resumo por Operador'!$G$4:$G$3000,'Resumo por Operador'!$B$4:$B$3000,$A16,'Resumo por Operador'!$A$4:$A$3000,"&gt;="&amp;Diretoria!$B$4,'Resumo por Operador'!$A$4:$A$3000,"&lt;="&amp;Diretoria!$D$4))</f>
        <v/>
      </c>
      <c r="G16" s="35">
        <f>IF(Operadores!$A16="","",IFERROR(IF(F16=0,"—",C16/F16),"—"))</f>
        <v/>
      </c>
      <c r="H16" s="33">
        <f>IF(Operadores!$A16="","",SUMIFS('Resumo por Operador'!$I$4:$I$3000,'Resumo por Operador'!$B$4:$B$3000,$A16,'Resumo por Operador'!$A$4:$A$3000,"&gt;="&amp;Diretoria!$B$4,'Resumo por Operador'!$A$4:$A$3000,"&lt;="&amp;Diretoria!$D$4))</f>
        <v/>
      </c>
    </row>
    <row r="17">
      <c r="A17" s="22">
        <f>IF(Operadores!$A17="","",Operadores!$A17)</f>
        <v/>
      </c>
      <c r="B17" s="37">
        <f>IF(Operadores!$A17="","",COUNTIFS('Resumo por Operador'!$B$4:$B$3000,$A17,'Resumo por Operador'!$A$4:$A$3000,"&gt;="&amp;Diretoria!$B$4,'Resumo por Operador'!$A$4:$A$3000,"&lt;="&amp;Diretoria!$D$4))</f>
        <v/>
      </c>
      <c r="C17" s="37">
        <f>IF(Operadores!$A17="","",SUMIFS('Resumo por Operador'!$D$4:$D$3000,'Resumo por Operador'!$B$4:$B$3000,$A17,'Resumo por Operador'!$A$4:$A$3000,"&gt;="&amp;Diretoria!$B$4,'Resumo por Operador'!$A$4:$A$3000,"&lt;="&amp;Diretoria!$D$4))</f>
        <v/>
      </c>
      <c r="D17" s="38">
        <f>IF(Operadores!$A17="","",SUMIFS('Resumo por Operador'!$E$4:$E$3000,'Resumo por Operador'!$B$4:$B$3000,$A17,'Resumo por Operador'!$A$4:$A$3000,"&gt;="&amp;Diretoria!$B$4,'Resumo por Operador'!$A$4:$A$3000,"&lt;="&amp;Diretoria!$D$4))</f>
        <v/>
      </c>
      <c r="E17" s="39">
        <f>IF(Operadores!$A17="","",IFERROR(IF(D17=0,"—",C17/D17),"—"))</f>
        <v/>
      </c>
      <c r="F17" s="37">
        <f>IF(Operadores!$A17="","",SUMIFS('Resumo por Operador'!$G$4:$G$3000,'Resumo por Operador'!$B$4:$B$3000,$A17,'Resumo por Operador'!$A$4:$A$3000,"&gt;="&amp;Diretoria!$B$4,'Resumo por Operador'!$A$4:$A$3000,"&lt;="&amp;Diretoria!$D$4))</f>
        <v/>
      </c>
      <c r="G17" s="39">
        <f>IF(Operadores!$A17="","",IFERROR(IF(F17=0,"—",C17/F17),"—"))</f>
        <v/>
      </c>
      <c r="H17" s="37">
        <f>IF(Operadores!$A17="","",SUMIFS('Resumo por Operador'!$I$4:$I$3000,'Resumo por Operador'!$B$4:$B$3000,$A17,'Resumo por Operador'!$A$4:$A$3000,"&gt;="&amp;Diretoria!$B$4,'Resumo por Operador'!$A$4:$A$3000,"&lt;="&amp;Diretoria!$D$4))</f>
        <v/>
      </c>
    </row>
    <row r="18">
      <c r="A18" s="31">
        <f>IF(Operadores!$A18="","",Operadores!$A18)</f>
        <v/>
      </c>
      <c r="B18" s="33">
        <f>IF(Operadores!$A18="","",COUNTIFS('Resumo por Operador'!$B$4:$B$3000,$A18,'Resumo por Operador'!$A$4:$A$3000,"&gt;="&amp;Diretoria!$B$4,'Resumo por Operador'!$A$4:$A$3000,"&lt;="&amp;Diretoria!$D$4))</f>
        <v/>
      </c>
      <c r="C18" s="33">
        <f>IF(Operadores!$A18="","",SUMIFS('Resumo por Operador'!$D$4:$D$3000,'Resumo por Operador'!$B$4:$B$3000,$A18,'Resumo por Operador'!$A$4:$A$3000,"&gt;="&amp;Diretoria!$B$4,'Resumo por Operador'!$A$4:$A$3000,"&lt;="&amp;Diretoria!$D$4))</f>
        <v/>
      </c>
      <c r="D18" s="34">
        <f>IF(Operadores!$A18="","",SUMIFS('Resumo por Operador'!$E$4:$E$3000,'Resumo por Operador'!$B$4:$B$3000,$A18,'Resumo por Operador'!$A$4:$A$3000,"&gt;="&amp;Diretoria!$B$4,'Resumo por Operador'!$A$4:$A$3000,"&lt;="&amp;Diretoria!$D$4))</f>
        <v/>
      </c>
      <c r="E18" s="35">
        <f>IF(Operadores!$A18="","",IFERROR(IF(D18=0,"—",C18/D18),"—"))</f>
        <v/>
      </c>
      <c r="F18" s="33">
        <f>IF(Operadores!$A18="","",SUMIFS('Resumo por Operador'!$G$4:$G$3000,'Resumo por Operador'!$B$4:$B$3000,$A18,'Resumo por Operador'!$A$4:$A$3000,"&gt;="&amp;Diretoria!$B$4,'Resumo por Operador'!$A$4:$A$3000,"&lt;="&amp;Diretoria!$D$4))</f>
        <v/>
      </c>
      <c r="G18" s="35">
        <f>IF(Operadores!$A18="","",IFERROR(IF(F18=0,"—",C18/F18),"—"))</f>
        <v/>
      </c>
      <c r="H18" s="33">
        <f>IF(Operadores!$A18="","",SUMIFS('Resumo por Operador'!$I$4:$I$3000,'Resumo por Operador'!$B$4:$B$3000,$A18,'Resumo por Operador'!$A$4:$A$3000,"&gt;="&amp;Diretoria!$B$4,'Resumo por Operador'!$A$4:$A$3000,"&lt;="&amp;Diretoria!$D$4))</f>
        <v/>
      </c>
    </row>
    <row r="19">
      <c r="A19" s="22">
        <f>IF(Operadores!$A19="","",Operadores!$A19)</f>
        <v/>
      </c>
      <c r="B19" s="37">
        <f>IF(Operadores!$A19="","",COUNTIFS('Resumo por Operador'!$B$4:$B$3000,$A19,'Resumo por Operador'!$A$4:$A$3000,"&gt;="&amp;Diretoria!$B$4,'Resumo por Operador'!$A$4:$A$3000,"&lt;="&amp;Diretoria!$D$4))</f>
        <v/>
      </c>
      <c r="C19" s="37">
        <f>IF(Operadores!$A19="","",SUMIFS('Resumo por Operador'!$D$4:$D$3000,'Resumo por Operador'!$B$4:$B$3000,$A19,'Resumo por Operador'!$A$4:$A$3000,"&gt;="&amp;Diretoria!$B$4,'Resumo por Operador'!$A$4:$A$3000,"&lt;="&amp;Diretoria!$D$4))</f>
        <v/>
      </c>
      <c r="D19" s="38">
        <f>IF(Operadores!$A19="","",SUMIFS('Resumo por Operador'!$E$4:$E$3000,'Resumo por Operador'!$B$4:$B$3000,$A19,'Resumo por Operador'!$A$4:$A$3000,"&gt;="&amp;Diretoria!$B$4,'Resumo por Operador'!$A$4:$A$3000,"&lt;="&amp;Diretoria!$D$4))</f>
        <v/>
      </c>
      <c r="E19" s="39">
        <f>IF(Operadores!$A19="","",IFERROR(IF(D19=0,"—",C19/D19),"—"))</f>
        <v/>
      </c>
      <c r="F19" s="37">
        <f>IF(Operadores!$A19="","",SUMIFS('Resumo por Operador'!$G$4:$G$3000,'Resumo por Operador'!$B$4:$B$3000,$A19,'Resumo por Operador'!$A$4:$A$3000,"&gt;="&amp;Diretoria!$B$4,'Resumo por Operador'!$A$4:$A$3000,"&lt;="&amp;Diretoria!$D$4))</f>
        <v/>
      </c>
      <c r="G19" s="39">
        <f>IF(Operadores!$A19="","",IFERROR(IF(F19=0,"—",C19/F19),"—"))</f>
        <v/>
      </c>
      <c r="H19" s="37">
        <f>IF(Operadores!$A19="","",SUMIFS('Resumo por Operador'!$I$4:$I$3000,'Resumo por Operador'!$B$4:$B$3000,$A19,'Resumo por Operador'!$A$4:$A$3000,"&gt;="&amp;Diretoria!$B$4,'Resumo por Operador'!$A$4:$A$3000,"&lt;="&amp;Diretoria!$D$4))</f>
        <v/>
      </c>
    </row>
    <row r="20">
      <c r="A20" s="31">
        <f>IF(Operadores!$A20="","",Operadores!$A20)</f>
        <v/>
      </c>
      <c r="B20" s="33">
        <f>IF(Operadores!$A20="","",COUNTIFS('Resumo por Operador'!$B$4:$B$3000,$A20,'Resumo por Operador'!$A$4:$A$3000,"&gt;="&amp;Diretoria!$B$4,'Resumo por Operador'!$A$4:$A$3000,"&lt;="&amp;Diretoria!$D$4))</f>
        <v/>
      </c>
      <c r="C20" s="33">
        <f>IF(Operadores!$A20="","",SUMIFS('Resumo por Operador'!$D$4:$D$3000,'Resumo por Operador'!$B$4:$B$3000,$A20,'Resumo por Operador'!$A$4:$A$3000,"&gt;="&amp;Diretoria!$B$4,'Resumo por Operador'!$A$4:$A$3000,"&lt;="&amp;Diretoria!$D$4))</f>
        <v/>
      </c>
      <c r="D20" s="34">
        <f>IF(Operadores!$A20="","",SUMIFS('Resumo por Operador'!$E$4:$E$3000,'Resumo por Operador'!$B$4:$B$3000,$A20,'Resumo por Operador'!$A$4:$A$3000,"&gt;="&amp;Diretoria!$B$4,'Resumo por Operador'!$A$4:$A$3000,"&lt;="&amp;Diretoria!$D$4))</f>
        <v/>
      </c>
      <c r="E20" s="35">
        <f>IF(Operadores!$A20="","",IFERROR(IF(D20=0,"—",C20/D20),"—"))</f>
        <v/>
      </c>
      <c r="F20" s="33">
        <f>IF(Operadores!$A20="","",SUMIFS('Resumo por Operador'!$G$4:$G$3000,'Resumo por Operador'!$B$4:$B$3000,$A20,'Resumo por Operador'!$A$4:$A$3000,"&gt;="&amp;Diretoria!$B$4,'Resumo por Operador'!$A$4:$A$3000,"&lt;="&amp;Diretoria!$D$4))</f>
        <v/>
      </c>
      <c r="G20" s="35">
        <f>IF(Operadores!$A20="","",IFERROR(IF(F20=0,"—",C20/F20),"—"))</f>
        <v/>
      </c>
      <c r="H20" s="33">
        <f>IF(Operadores!$A20="","",SUMIFS('Resumo por Operador'!$I$4:$I$3000,'Resumo por Operador'!$B$4:$B$3000,$A20,'Resumo por Operador'!$A$4:$A$3000,"&gt;="&amp;Diretoria!$B$4,'Resumo por Operador'!$A$4:$A$3000,"&lt;="&amp;Diretoria!$D$4))</f>
        <v/>
      </c>
    </row>
    <row r="21">
      <c r="A21" s="22">
        <f>IF(Operadores!$A21="","",Operadores!$A21)</f>
        <v/>
      </c>
      <c r="B21" s="37">
        <f>IF(Operadores!$A21="","",COUNTIFS('Resumo por Operador'!$B$4:$B$3000,$A21,'Resumo por Operador'!$A$4:$A$3000,"&gt;="&amp;Diretoria!$B$4,'Resumo por Operador'!$A$4:$A$3000,"&lt;="&amp;Diretoria!$D$4))</f>
        <v/>
      </c>
      <c r="C21" s="37">
        <f>IF(Operadores!$A21="","",SUMIFS('Resumo por Operador'!$D$4:$D$3000,'Resumo por Operador'!$B$4:$B$3000,$A21,'Resumo por Operador'!$A$4:$A$3000,"&gt;="&amp;Diretoria!$B$4,'Resumo por Operador'!$A$4:$A$3000,"&lt;="&amp;Diretoria!$D$4))</f>
        <v/>
      </c>
      <c r="D21" s="38">
        <f>IF(Operadores!$A21="","",SUMIFS('Resumo por Operador'!$E$4:$E$3000,'Resumo por Operador'!$B$4:$B$3000,$A21,'Resumo por Operador'!$A$4:$A$3000,"&gt;="&amp;Diretoria!$B$4,'Resumo por Operador'!$A$4:$A$3000,"&lt;="&amp;Diretoria!$D$4))</f>
        <v/>
      </c>
      <c r="E21" s="39">
        <f>IF(Operadores!$A21="","",IFERROR(IF(D21=0,"—",C21/D21),"—"))</f>
        <v/>
      </c>
      <c r="F21" s="37">
        <f>IF(Operadores!$A21="","",SUMIFS('Resumo por Operador'!$G$4:$G$3000,'Resumo por Operador'!$B$4:$B$3000,$A21,'Resumo por Operador'!$A$4:$A$3000,"&gt;="&amp;Diretoria!$B$4,'Resumo por Operador'!$A$4:$A$3000,"&lt;="&amp;Diretoria!$D$4))</f>
        <v/>
      </c>
      <c r="G21" s="39">
        <f>IF(Operadores!$A21="","",IFERROR(IF(F21=0,"—",C21/F21),"—"))</f>
        <v/>
      </c>
      <c r="H21" s="37">
        <f>IF(Operadores!$A21="","",SUMIFS('Resumo por Operador'!$I$4:$I$3000,'Resumo por Operador'!$B$4:$B$3000,$A21,'Resumo por Operador'!$A$4:$A$3000,"&gt;="&amp;Diretoria!$B$4,'Resumo por Operador'!$A$4:$A$3000,"&lt;="&amp;Diretoria!$D$4))</f>
        <v/>
      </c>
    </row>
    <row r="22">
      <c r="A22" s="31">
        <f>IF(Operadores!$A22="","",Operadores!$A22)</f>
        <v/>
      </c>
      <c r="B22" s="33">
        <f>IF(Operadores!$A22="","",COUNTIFS('Resumo por Operador'!$B$4:$B$3000,$A22,'Resumo por Operador'!$A$4:$A$3000,"&gt;="&amp;Diretoria!$B$4,'Resumo por Operador'!$A$4:$A$3000,"&lt;="&amp;Diretoria!$D$4))</f>
        <v/>
      </c>
      <c r="C22" s="33">
        <f>IF(Operadores!$A22="","",SUMIFS('Resumo por Operador'!$D$4:$D$3000,'Resumo por Operador'!$B$4:$B$3000,$A22,'Resumo por Operador'!$A$4:$A$3000,"&gt;="&amp;Diretoria!$B$4,'Resumo por Operador'!$A$4:$A$3000,"&lt;="&amp;Diretoria!$D$4))</f>
        <v/>
      </c>
      <c r="D22" s="34">
        <f>IF(Operadores!$A22="","",SUMIFS('Resumo por Operador'!$E$4:$E$3000,'Resumo por Operador'!$B$4:$B$3000,$A22,'Resumo por Operador'!$A$4:$A$3000,"&gt;="&amp;Diretoria!$B$4,'Resumo por Operador'!$A$4:$A$3000,"&lt;="&amp;Diretoria!$D$4))</f>
        <v/>
      </c>
      <c r="E22" s="35">
        <f>IF(Operadores!$A22="","",IFERROR(IF(D22=0,"—",C22/D22),"—"))</f>
        <v/>
      </c>
      <c r="F22" s="33">
        <f>IF(Operadores!$A22="","",SUMIFS('Resumo por Operador'!$G$4:$G$3000,'Resumo por Operador'!$B$4:$B$3000,$A22,'Resumo por Operador'!$A$4:$A$3000,"&gt;="&amp;Diretoria!$B$4,'Resumo por Operador'!$A$4:$A$3000,"&lt;="&amp;Diretoria!$D$4))</f>
        <v/>
      </c>
      <c r="G22" s="35">
        <f>IF(Operadores!$A22="","",IFERROR(IF(F22=0,"—",C22/F22),"—"))</f>
        <v/>
      </c>
      <c r="H22" s="33">
        <f>IF(Operadores!$A22="","",SUMIFS('Resumo por Operador'!$I$4:$I$3000,'Resumo por Operador'!$B$4:$B$3000,$A22,'Resumo por Operador'!$A$4:$A$3000,"&gt;="&amp;Diretoria!$B$4,'Resumo por Operador'!$A$4:$A$3000,"&lt;="&amp;Diretoria!$D$4))</f>
        <v/>
      </c>
    </row>
    <row r="23">
      <c r="A23" s="22">
        <f>IF(Operadores!$A23="","",Operadores!$A23)</f>
        <v/>
      </c>
      <c r="B23" s="37">
        <f>IF(Operadores!$A23="","",COUNTIFS('Resumo por Operador'!$B$4:$B$3000,$A23,'Resumo por Operador'!$A$4:$A$3000,"&gt;="&amp;Diretoria!$B$4,'Resumo por Operador'!$A$4:$A$3000,"&lt;="&amp;Diretoria!$D$4))</f>
        <v/>
      </c>
      <c r="C23" s="37">
        <f>IF(Operadores!$A23="","",SUMIFS('Resumo por Operador'!$D$4:$D$3000,'Resumo por Operador'!$B$4:$B$3000,$A23,'Resumo por Operador'!$A$4:$A$3000,"&gt;="&amp;Diretoria!$B$4,'Resumo por Operador'!$A$4:$A$3000,"&lt;="&amp;Diretoria!$D$4))</f>
        <v/>
      </c>
      <c r="D23" s="38">
        <f>IF(Operadores!$A23="","",SUMIFS('Resumo por Operador'!$E$4:$E$3000,'Resumo por Operador'!$B$4:$B$3000,$A23,'Resumo por Operador'!$A$4:$A$3000,"&gt;="&amp;Diretoria!$B$4,'Resumo por Operador'!$A$4:$A$3000,"&lt;="&amp;Diretoria!$D$4))</f>
        <v/>
      </c>
      <c r="E23" s="39">
        <f>IF(Operadores!$A23="","",IFERROR(IF(D23=0,"—",C23/D23),"—"))</f>
        <v/>
      </c>
      <c r="F23" s="37">
        <f>IF(Operadores!$A23="","",SUMIFS('Resumo por Operador'!$G$4:$G$3000,'Resumo por Operador'!$B$4:$B$3000,$A23,'Resumo por Operador'!$A$4:$A$3000,"&gt;="&amp;Diretoria!$B$4,'Resumo por Operador'!$A$4:$A$3000,"&lt;="&amp;Diretoria!$D$4))</f>
        <v/>
      </c>
      <c r="G23" s="39">
        <f>IF(Operadores!$A23="","",IFERROR(IF(F23=0,"—",C23/F23),"—"))</f>
        <v/>
      </c>
      <c r="H23" s="37">
        <f>IF(Operadores!$A23="","",SUMIFS('Resumo por Operador'!$I$4:$I$3000,'Resumo por Operador'!$B$4:$B$3000,$A23,'Resumo por Operador'!$A$4:$A$3000,"&gt;="&amp;Diretoria!$B$4,'Resumo por Operador'!$A$4:$A$3000,"&lt;="&amp;Diretoria!$D$4))</f>
        <v/>
      </c>
    </row>
    <row r="24">
      <c r="A24" s="31">
        <f>IF(Operadores!$A24="","",Operadores!$A24)</f>
        <v/>
      </c>
      <c r="B24" s="33">
        <f>IF(Operadores!$A24="","",COUNTIFS('Resumo por Operador'!$B$4:$B$3000,$A24,'Resumo por Operador'!$A$4:$A$3000,"&gt;="&amp;Diretoria!$B$4,'Resumo por Operador'!$A$4:$A$3000,"&lt;="&amp;Diretoria!$D$4))</f>
        <v/>
      </c>
      <c r="C24" s="33">
        <f>IF(Operadores!$A24="","",SUMIFS('Resumo por Operador'!$D$4:$D$3000,'Resumo por Operador'!$B$4:$B$3000,$A24,'Resumo por Operador'!$A$4:$A$3000,"&gt;="&amp;Diretoria!$B$4,'Resumo por Operador'!$A$4:$A$3000,"&lt;="&amp;Diretoria!$D$4))</f>
        <v/>
      </c>
      <c r="D24" s="34">
        <f>IF(Operadores!$A24="","",SUMIFS('Resumo por Operador'!$E$4:$E$3000,'Resumo por Operador'!$B$4:$B$3000,$A24,'Resumo por Operador'!$A$4:$A$3000,"&gt;="&amp;Diretoria!$B$4,'Resumo por Operador'!$A$4:$A$3000,"&lt;="&amp;Diretoria!$D$4))</f>
        <v/>
      </c>
      <c r="E24" s="35">
        <f>IF(Operadores!$A24="","",IFERROR(IF(D24=0,"—",C24/D24),"—"))</f>
        <v/>
      </c>
      <c r="F24" s="33">
        <f>IF(Operadores!$A24="","",SUMIFS('Resumo por Operador'!$G$4:$G$3000,'Resumo por Operador'!$B$4:$B$3000,$A24,'Resumo por Operador'!$A$4:$A$3000,"&gt;="&amp;Diretoria!$B$4,'Resumo por Operador'!$A$4:$A$3000,"&lt;="&amp;Diretoria!$D$4))</f>
        <v/>
      </c>
      <c r="G24" s="35">
        <f>IF(Operadores!$A24="","",IFERROR(IF(F24=0,"—",C24/F24),"—"))</f>
        <v/>
      </c>
      <c r="H24" s="33">
        <f>IF(Operadores!$A24="","",SUMIFS('Resumo por Operador'!$I$4:$I$3000,'Resumo por Operador'!$B$4:$B$3000,$A24,'Resumo por Operador'!$A$4:$A$3000,"&gt;="&amp;Diretoria!$B$4,'Resumo por Operador'!$A$4:$A$3000,"&lt;="&amp;Diretoria!$D$4))</f>
        <v/>
      </c>
    </row>
    <row r="25">
      <c r="A25" s="22">
        <f>IF(Operadores!$A25="","",Operadores!$A25)</f>
        <v/>
      </c>
      <c r="B25" s="37">
        <f>IF(Operadores!$A25="","",COUNTIFS('Resumo por Operador'!$B$4:$B$3000,$A25,'Resumo por Operador'!$A$4:$A$3000,"&gt;="&amp;Diretoria!$B$4,'Resumo por Operador'!$A$4:$A$3000,"&lt;="&amp;Diretoria!$D$4))</f>
        <v/>
      </c>
      <c r="C25" s="37">
        <f>IF(Operadores!$A25="","",SUMIFS('Resumo por Operador'!$D$4:$D$3000,'Resumo por Operador'!$B$4:$B$3000,$A25,'Resumo por Operador'!$A$4:$A$3000,"&gt;="&amp;Diretoria!$B$4,'Resumo por Operador'!$A$4:$A$3000,"&lt;="&amp;Diretoria!$D$4))</f>
        <v/>
      </c>
      <c r="D25" s="38">
        <f>IF(Operadores!$A25="","",SUMIFS('Resumo por Operador'!$E$4:$E$3000,'Resumo por Operador'!$B$4:$B$3000,$A25,'Resumo por Operador'!$A$4:$A$3000,"&gt;="&amp;Diretoria!$B$4,'Resumo por Operador'!$A$4:$A$3000,"&lt;="&amp;Diretoria!$D$4))</f>
        <v/>
      </c>
      <c r="E25" s="39">
        <f>IF(Operadores!$A25="","",IFERROR(IF(D25=0,"—",C25/D25),"—"))</f>
        <v/>
      </c>
      <c r="F25" s="37">
        <f>IF(Operadores!$A25="","",SUMIFS('Resumo por Operador'!$G$4:$G$3000,'Resumo por Operador'!$B$4:$B$3000,$A25,'Resumo por Operador'!$A$4:$A$3000,"&gt;="&amp;Diretoria!$B$4,'Resumo por Operador'!$A$4:$A$3000,"&lt;="&amp;Diretoria!$D$4))</f>
        <v/>
      </c>
      <c r="G25" s="39">
        <f>IF(Operadores!$A25="","",IFERROR(IF(F25=0,"—",C25/F25),"—"))</f>
        <v/>
      </c>
      <c r="H25" s="37">
        <f>IF(Operadores!$A25="","",SUMIFS('Resumo por Operador'!$I$4:$I$3000,'Resumo por Operador'!$B$4:$B$3000,$A25,'Resumo por Operador'!$A$4:$A$3000,"&gt;="&amp;Diretoria!$B$4,'Resumo por Operador'!$A$4:$A$3000,"&lt;="&amp;Diretoria!$D$4))</f>
        <v/>
      </c>
    </row>
    <row r="26">
      <c r="A26" s="31">
        <f>IF(Operadores!$A26="","",Operadores!$A26)</f>
        <v/>
      </c>
      <c r="B26" s="33">
        <f>IF(Operadores!$A26="","",COUNTIFS('Resumo por Operador'!$B$4:$B$3000,$A26,'Resumo por Operador'!$A$4:$A$3000,"&gt;="&amp;Diretoria!$B$4,'Resumo por Operador'!$A$4:$A$3000,"&lt;="&amp;Diretoria!$D$4))</f>
        <v/>
      </c>
      <c r="C26" s="33">
        <f>IF(Operadores!$A26="","",SUMIFS('Resumo por Operador'!$D$4:$D$3000,'Resumo por Operador'!$B$4:$B$3000,$A26,'Resumo por Operador'!$A$4:$A$3000,"&gt;="&amp;Diretoria!$B$4,'Resumo por Operador'!$A$4:$A$3000,"&lt;="&amp;Diretoria!$D$4))</f>
        <v/>
      </c>
      <c r="D26" s="34">
        <f>IF(Operadores!$A26="","",SUMIFS('Resumo por Operador'!$E$4:$E$3000,'Resumo por Operador'!$B$4:$B$3000,$A26,'Resumo por Operador'!$A$4:$A$3000,"&gt;="&amp;Diretoria!$B$4,'Resumo por Operador'!$A$4:$A$3000,"&lt;="&amp;Diretoria!$D$4))</f>
        <v/>
      </c>
      <c r="E26" s="35">
        <f>IF(Operadores!$A26="","",IFERROR(IF(D26=0,"—",C26/D26),"—"))</f>
        <v/>
      </c>
      <c r="F26" s="33">
        <f>IF(Operadores!$A26="","",SUMIFS('Resumo por Operador'!$G$4:$G$3000,'Resumo por Operador'!$B$4:$B$3000,$A26,'Resumo por Operador'!$A$4:$A$3000,"&gt;="&amp;Diretoria!$B$4,'Resumo por Operador'!$A$4:$A$3000,"&lt;="&amp;Diretoria!$D$4))</f>
        <v/>
      </c>
      <c r="G26" s="35">
        <f>IF(Operadores!$A26="","",IFERROR(IF(F26=0,"—",C26/F26),"—"))</f>
        <v/>
      </c>
      <c r="H26" s="33">
        <f>IF(Operadores!$A26="","",SUMIFS('Resumo por Operador'!$I$4:$I$3000,'Resumo por Operador'!$B$4:$B$3000,$A26,'Resumo por Operador'!$A$4:$A$3000,"&gt;="&amp;Diretoria!$B$4,'Resumo por Operador'!$A$4:$A$3000,"&lt;="&amp;Diretoria!$D$4))</f>
        <v/>
      </c>
    </row>
    <row r="27">
      <c r="A27" s="22">
        <f>IF(Operadores!$A27="","",Operadores!$A27)</f>
        <v/>
      </c>
      <c r="B27" s="37">
        <f>IF(Operadores!$A27="","",COUNTIFS('Resumo por Operador'!$B$4:$B$3000,$A27,'Resumo por Operador'!$A$4:$A$3000,"&gt;="&amp;Diretoria!$B$4,'Resumo por Operador'!$A$4:$A$3000,"&lt;="&amp;Diretoria!$D$4))</f>
        <v/>
      </c>
      <c r="C27" s="37">
        <f>IF(Operadores!$A27="","",SUMIFS('Resumo por Operador'!$D$4:$D$3000,'Resumo por Operador'!$B$4:$B$3000,$A27,'Resumo por Operador'!$A$4:$A$3000,"&gt;="&amp;Diretoria!$B$4,'Resumo por Operador'!$A$4:$A$3000,"&lt;="&amp;Diretoria!$D$4))</f>
        <v/>
      </c>
      <c r="D27" s="38">
        <f>IF(Operadores!$A27="","",SUMIFS('Resumo por Operador'!$E$4:$E$3000,'Resumo por Operador'!$B$4:$B$3000,$A27,'Resumo por Operador'!$A$4:$A$3000,"&gt;="&amp;Diretoria!$B$4,'Resumo por Operador'!$A$4:$A$3000,"&lt;="&amp;Diretoria!$D$4))</f>
        <v/>
      </c>
      <c r="E27" s="39">
        <f>IF(Operadores!$A27="","",IFERROR(IF(D27=0,"—",C27/D27),"—"))</f>
        <v/>
      </c>
      <c r="F27" s="37">
        <f>IF(Operadores!$A27="","",SUMIFS('Resumo por Operador'!$G$4:$G$3000,'Resumo por Operador'!$B$4:$B$3000,$A27,'Resumo por Operador'!$A$4:$A$3000,"&gt;="&amp;Diretoria!$B$4,'Resumo por Operador'!$A$4:$A$3000,"&lt;="&amp;Diretoria!$D$4))</f>
        <v/>
      </c>
      <c r="G27" s="39">
        <f>IF(Operadores!$A27="","",IFERROR(IF(F27=0,"—",C27/F27),"—"))</f>
        <v/>
      </c>
      <c r="H27" s="37">
        <f>IF(Operadores!$A27="","",SUMIFS('Resumo por Operador'!$I$4:$I$3000,'Resumo por Operador'!$B$4:$B$3000,$A27,'Resumo por Operador'!$A$4:$A$3000,"&gt;="&amp;Diretoria!$B$4,'Resumo por Operador'!$A$4:$A$3000,"&lt;="&amp;Diretoria!$D$4))</f>
        <v/>
      </c>
    </row>
    <row r="28">
      <c r="A28" s="31">
        <f>IF(Operadores!$A28="","",Operadores!$A28)</f>
        <v/>
      </c>
      <c r="B28" s="33">
        <f>IF(Operadores!$A28="","",COUNTIFS('Resumo por Operador'!$B$4:$B$3000,$A28,'Resumo por Operador'!$A$4:$A$3000,"&gt;="&amp;Diretoria!$B$4,'Resumo por Operador'!$A$4:$A$3000,"&lt;="&amp;Diretoria!$D$4))</f>
        <v/>
      </c>
      <c r="C28" s="33">
        <f>IF(Operadores!$A28="","",SUMIFS('Resumo por Operador'!$D$4:$D$3000,'Resumo por Operador'!$B$4:$B$3000,$A28,'Resumo por Operador'!$A$4:$A$3000,"&gt;="&amp;Diretoria!$B$4,'Resumo por Operador'!$A$4:$A$3000,"&lt;="&amp;Diretoria!$D$4))</f>
        <v/>
      </c>
      <c r="D28" s="34">
        <f>IF(Operadores!$A28="","",SUMIFS('Resumo por Operador'!$E$4:$E$3000,'Resumo por Operador'!$B$4:$B$3000,$A28,'Resumo por Operador'!$A$4:$A$3000,"&gt;="&amp;Diretoria!$B$4,'Resumo por Operador'!$A$4:$A$3000,"&lt;="&amp;Diretoria!$D$4))</f>
        <v/>
      </c>
      <c r="E28" s="35">
        <f>IF(Operadores!$A28="","",IFERROR(IF(D28=0,"—",C28/D28),"—"))</f>
        <v/>
      </c>
      <c r="F28" s="33">
        <f>IF(Operadores!$A28="","",SUMIFS('Resumo por Operador'!$G$4:$G$3000,'Resumo por Operador'!$B$4:$B$3000,$A28,'Resumo por Operador'!$A$4:$A$3000,"&gt;="&amp;Diretoria!$B$4,'Resumo por Operador'!$A$4:$A$3000,"&lt;="&amp;Diretoria!$D$4))</f>
        <v/>
      </c>
      <c r="G28" s="35">
        <f>IF(Operadores!$A28="","",IFERROR(IF(F28=0,"—",C28/F28),"—"))</f>
        <v/>
      </c>
      <c r="H28" s="33">
        <f>IF(Operadores!$A28="","",SUMIFS('Resumo por Operador'!$I$4:$I$3000,'Resumo por Operador'!$B$4:$B$3000,$A28,'Resumo por Operador'!$A$4:$A$3000,"&gt;="&amp;Diretoria!$B$4,'Resumo por Operador'!$A$4:$A$3000,"&lt;="&amp;Diretoria!$D$4))</f>
        <v/>
      </c>
    </row>
    <row r="29">
      <c r="A29" s="22">
        <f>IF(Operadores!$A29="","",Operadores!$A29)</f>
        <v/>
      </c>
      <c r="B29" s="37">
        <f>IF(Operadores!$A29="","",COUNTIFS('Resumo por Operador'!$B$4:$B$3000,$A29,'Resumo por Operador'!$A$4:$A$3000,"&gt;="&amp;Diretoria!$B$4,'Resumo por Operador'!$A$4:$A$3000,"&lt;="&amp;Diretoria!$D$4))</f>
        <v/>
      </c>
      <c r="C29" s="37">
        <f>IF(Operadores!$A29="","",SUMIFS('Resumo por Operador'!$D$4:$D$3000,'Resumo por Operador'!$B$4:$B$3000,$A29,'Resumo por Operador'!$A$4:$A$3000,"&gt;="&amp;Diretoria!$B$4,'Resumo por Operador'!$A$4:$A$3000,"&lt;="&amp;Diretoria!$D$4))</f>
        <v/>
      </c>
      <c r="D29" s="38">
        <f>IF(Operadores!$A29="","",SUMIFS('Resumo por Operador'!$E$4:$E$3000,'Resumo por Operador'!$B$4:$B$3000,$A29,'Resumo por Operador'!$A$4:$A$3000,"&gt;="&amp;Diretoria!$B$4,'Resumo por Operador'!$A$4:$A$3000,"&lt;="&amp;Diretoria!$D$4))</f>
        <v/>
      </c>
      <c r="E29" s="39">
        <f>IF(Operadores!$A29="","",IFERROR(IF(D29=0,"—",C29/D29),"—"))</f>
        <v/>
      </c>
      <c r="F29" s="37">
        <f>IF(Operadores!$A29="","",SUMIFS('Resumo por Operador'!$G$4:$G$3000,'Resumo por Operador'!$B$4:$B$3000,$A29,'Resumo por Operador'!$A$4:$A$3000,"&gt;="&amp;Diretoria!$B$4,'Resumo por Operador'!$A$4:$A$3000,"&lt;="&amp;Diretoria!$D$4))</f>
        <v/>
      </c>
      <c r="G29" s="39">
        <f>IF(Operadores!$A29="","",IFERROR(IF(F29=0,"—",C29/F29),"—"))</f>
        <v/>
      </c>
      <c r="H29" s="37">
        <f>IF(Operadores!$A29="","",SUMIFS('Resumo por Operador'!$I$4:$I$3000,'Resumo por Operador'!$B$4:$B$3000,$A29,'Resumo por Operador'!$A$4:$A$3000,"&gt;="&amp;Diretoria!$B$4,'Resumo por Operador'!$A$4:$A$3000,"&lt;="&amp;Diretoria!$D$4))</f>
        <v/>
      </c>
    </row>
    <row r="30">
      <c r="A30" s="31">
        <f>IF(Operadores!$A30="","",Operadores!$A30)</f>
        <v/>
      </c>
      <c r="B30" s="33">
        <f>IF(Operadores!$A30="","",COUNTIFS('Resumo por Operador'!$B$4:$B$3000,$A30,'Resumo por Operador'!$A$4:$A$3000,"&gt;="&amp;Diretoria!$B$4,'Resumo por Operador'!$A$4:$A$3000,"&lt;="&amp;Diretoria!$D$4))</f>
        <v/>
      </c>
      <c r="C30" s="33">
        <f>IF(Operadores!$A30="","",SUMIFS('Resumo por Operador'!$D$4:$D$3000,'Resumo por Operador'!$B$4:$B$3000,$A30,'Resumo por Operador'!$A$4:$A$3000,"&gt;="&amp;Diretoria!$B$4,'Resumo por Operador'!$A$4:$A$3000,"&lt;="&amp;Diretoria!$D$4))</f>
        <v/>
      </c>
      <c r="D30" s="34">
        <f>IF(Operadores!$A30="","",SUMIFS('Resumo por Operador'!$E$4:$E$3000,'Resumo por Operador'!$B$4:$B$3000,$A30,'Resumo por Operador'!$A$4:$A$3000,"&gt;="&amp;Diretoria!$B$4,'Resumo por Operador'!$A$4:$A$3000,"&lt;="&amp;Diretoria!$D$4))</f>
        <v/>
      </c>
      <c r="E30" s="35">
        <f>IF(Operadores!$A30="","",IFERROR(IF(D30=0,"—",C30/D30),"—"))</f>
        <v/>
      </c>
      <c r="F30" s="33">
        <f>IF(Operadores!$A30="","",SUMIFS('Resumo por Operador'!$G$4:$G$3000,'Resumo por Operador'!$B$4:$B$3000,$A30,'Resumo por Operador'!$A$4:$A$3000,"&gt;="&amp;Diretoria!$B$4,'Resumo por Operador'!$A$4:$A$3000,"&lt;="&amp;Diretoria!$D$4))</f>
        <v/>
      </c>
      <c r="G30" s="35">
        <f>IF(Operadores!$A30="","",IFERROR(IF(F30=0,"—",C30/F30),"—"))</f>
        <v/>
      </c>
      <c r="H30" s="33">
        <f>IF(Operadores!$A30="","",SUMIFS('Resumo por Operador'!$I$4:$I$3000,'Resumo por Operador'!$B$4:$B$3000,$A30,'Resumo por Operador'!$A$4:$A$3000,"&gt;="&amp;Diretoria!$B$4,'Resumo por Operador'!$A$4:$A$3000,"&lt;="&amp;Diretoria!$D$4))</f>
        <v/>
      </c>
    </row>
    <row r="31">
      <c r="A31" s="22">
        <f>IF(Operadores!$A31="","",Operadores!$A31)</f>
        <v/>
      </c>
      <c r="B31" s="37">
        <f>IF(Operadores!$A31="","",COUNTIFS('Resumo por Operador'!$B$4:$B$3000,$A31,'Resumo por Operador'!$A$4:$A$3000,"&gt;="&amp;Diretoria!$B$4,'Resumo por Operador'!$A$4:$A$3000,"&lt;="&amp;Diretoria!$D$4))</f>
        <v/>
      </c>
      <c r="C31" s="37">
        <f>IF(Operadores!$A31="","",SUMIFS('Resumo por Operador'!$D$4:$D$3000,'Resumo por Operador'!$B$4:$B$3000,$A31,'Resumo por Operador'!$A$4:$A$3000,"&gt;="&amp;Diretoria!$B$4,'Resumo por Operador'!$A$4:$A$3000,"&lt;="&amp;Diretoria!$D$4))</f>
        <v/>
      </c>
      <c r="D31" s="38">
        <f>IF(Operadores!$A31="","",SUMIFS('Resumo por Operador'!$E$4:$E$3000,'Resumo por Operador'!$B$4:$B$3000,$A31,'Resumo por Operador'!$A$4:$A$3000,"&gt;="&amp;Diretoria!$B$4,'Resumo por Operador'!$A$4:$A$3000,"&lt;="&amp;Diretoria!$D$4))</f>
        <v/>
      </c>
      <c r="E31" s="39">
        <f>IF(Operadores!$A31="","",IFERROR(IF(D31=0,"—",C31/D31),"—"))</f>
        <v/>
      </c>
      <c r="F31" s="37">
        <f>IF(Operadores!$A31="","",SUMIFS('Resumo por Operador'!$G$4:$G$3000,'Resumo por Operador'!$B$4:$B$3000,$A31,'Resumo por Operador'!$A$4:$A$3000,"&gt;="&amp;Diretoria!$B$4,'Resumo por Operador'!$A$4:$A$3000,"&lt;="&amp;Diretoria!$D$4))</f>
        <v/>
      </c>
      <c r="G31" s="39">
        <f>IF(Operadores!$A31="","",IFERROR(IF(F31=0,"—",C31/F31),"—"))</f>
        <v/>
      </c>
      <c r="H31" s="37">
        <f>IF(Operadores!$A31="","",SUMIFS('Resumo por Operador'!$I$4:$I$3000,'Resumo por Operador'!$B$4:$B$3000,$A31,'Resumo por Operador'!$A$4:$A$3000,"&gt;="&amp;Diretoria!$B$4,'Resumo por Operador'!$A$4:$A$3000,"&lt;="&amp;Diretoria!$D$4))</f>
        <v/>
      </c>
    </row>
    <row r="32">
      <c r="A32" s="31">
        <f>IF(Operadores!$A32="","",Operadores!$A32)</f>
        <v/>
      </c>
      <c r="B32" s="33">
        <f>IF(Operadores!$A32="","",COUNTIFS('Resumo por Operador'!$B$4:$B$3000,$A32,'Resumo por Operador'!$A$4:$A$3000,"&gt;="&amp;Diretoria!$B$4,'Resumo por Operador'!$A$4:$A$3000,"&lt;="&amp;Diretoria!$D$4))</f>
        <v/>
      </c>
      <c r="C32" s="33">
        <f>IF(Operadores!$A32="","",SUMIFS('Resumo por Operador'!$D$4:$D$3000,'Resumo por Operador'!$B$4:$B$3000,$A32,'Resumo por Operador'!$A$4:$A$3000,"&gt;="&amp;Diretoria!$B$4,'Resumo por Operador'!$A$4:$A$3000,"&lt;="&amp;Diretoria!$D$4))</f>
        <v/>
      </c>
      <c r="D32" s="34">
        <f>IF(Operadores!$A32="","",SUMIFS('Resumo por Operador'!$E$4:$E$3000,'Resumo por Operador'!$B$4:$B$3000,$A32,'Resumo por Operador'!$A$4:$A$3000,"&gt;="&amp;Diretoria!$B$4,'Resumo por Operador'!$A$4:$A$3000,"&lt;="&amp;Diretoria!$D$4))</f>
        <v/>
      </c>
      <c r="E32" s="35">
        <f>IF(Operadores!$A32="","",IFERROR(IF(D32=0,"—",C32/D32),"—"))</f>
        <v/>
      </c>
      <c r="F32" s="33">
        <f>IF(Operadores!$A32="","",SUMIFS('Resumo por Operador'!$G$4:$G$3000,'Resumo por Operador'!$B$4:$B$3000,$A32,'Resumo por Operador'!$A$4:$A$3000,"&gt;="&amp;Diretoria!$B$4,'Resumo por Operador'!$A$4:$A$3000,"&lt;="&amp;Diretoria!$D$4))</f>
        <v/>
      </c>
      <c r="G32" s="35">
        <f>IF(Operadores!$A32="","",IFERROR(IF(F32=0,"—",C32/F32),"—"))</f>
        <v/>
      </c>
      <c r="H32" s="33">
        <f>IF(Operadores!$A32="","",SUMIFS('Resumo por Operador'!$I$4:$I$3000,'Resumo por Operador'!$B$4:$B$3000,$A32,'Resumo por Operador'!$A$4:$A$3000,"&gt;="&amp;Diretoria!$B$4,'Resumo por Operador'!$A$4:$A$3000,"&lt;="&amp;Diretoria!$D$4))</f>
        <v/>
      </c>
    </row>
    <row r="33">
      <c r="A33" s="22">
        <f>IF(Operadores!$A33="","",Operadores!$A33)</f>
        <v/>
      </c>
      <c r="B33" s="37">
        <f>IF(Operadores!$A33="","",COUNTIFS('Resumo por Operador'!$B$4:$B$3000,$A33,'Resumo por Operador'!$A$4:$A$3000,"&gt;="&amp;Diretoria!$B$4,'Resumo por Operador'!$A$4:$A$3000,"&lt;="&amp;Diretoria!$D$4))</f>
        <v/>
      </c>
      <c r="C33" s="37">
        <f>IF(Operadores!$A33="","",SUMIFS('Resumo por Operador'!$D$4:$D$3000,'Resumo por Operador'!$B$4:$B$3000,$A33,'Resumo por Operador'!$A$4:$A$3000,"&gt;="&amp;Diretoria!$B$4,'Resumo por Operador'!$A$4:$A$3000,"&lt;="&amp;Diretoria!$D$4))</f>
        <v/>
      </c>
      <c r="D33" s="38">
        <f>IF(Operadores!$A33="","",SUMIFS('Resumo por Operador'!$E$4:$E$3000,'Resumo por Operador'!$B$4:$B$3000,$A33,'Resumo por Operador'!$A$4:$A$3000,"&gt;="&amp;Diretoria!$B$4,'Resumo por Operador'!$A$4:$A$3000,"&lt;="&amp;Diretoria!$D$4))</f>
        <v/>
      </c>
      <c r="E33" s="39">
        <f>IF(Operadores!$A33="","",IFERROR(IF(D33=0,"—",C33/D33),"—"))</f>
        <v/>
      </c>
      <c r="F33" s="37">
        <f>IF(Operadores!$A33="","",SUMIFS('Resumo por Operador'!$G$4:$G$3000,'Resumo por Operador'!$B$4:$B$3000,$A33,'Resumo por Operador'!$A$4:$A$3000,"&gt;="&amp;Diretoria!$B$4,'Resumo por Operador'!$A$4:$A$3000,"&lt;="&amp;Diretoria!$D$4))</f>
        <v/>
      </c>
      <c r="G33" s="39">
        <f>IF(Operadores!$A33="","",IFERROR(IF(F33=0,"—",C33/F33),"—"))</f>
        <v/>
      </c>
      <c r="H33" s="37">
        <f>IF(Operadores!$A33="","",SUMIFS('Resumo por Operador'!$I$4:$I$3000,'Resumo por Operador'!$B$4:$B$3000,$A33,'Resumo por Operador'!$A$4:$A$3000,"&gt;="&amp;Diretoria!$B$4,'Resumo por Operador'!$A$4:$A$3000,"&lt;="&amp;Diretoria!$D$4))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H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EVOLUÇÃO DIÁRIA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Espelho da aba Resumo por Dia — cresce sozinha conforme o app lança.</t>
        </is>
      </c>
    </row>
    <row r="3" ht="30" customHeight="1">
      <c r="A3" s="30" t="inlineStr">
        <is>
          <t>Data</t>
        </is>
      </c>
      <c r="B3" s="30" t="inlineStr">
        <is>
          <t>Consumo (L)</t>
        </is>
      </c>
      <c r="C3" s="30" t="inlineStr">
        <is>
          <t>Horas</t>
        </is>
      </c>
      <c r="D3" s="30" t="inlineStr">
        <is>
          <t>L/h</t>
        </is>
      </c>
      <c r="E3" s="30" t="inlineStr">
        <is>
          <t>Produção (t)</t>
        </is>
      </c>
      <c r="F3" s="30" t="inlineStr">
        <is>
          <t>L/Ton</t>
        </is>
      </c>
      <c r="G3" s="30" t="inlineStr">
        <is>
          <t>Viagens</t>
        </is>
      </c>
      <c r="H3" s="30" t="inlineStr">
        <is>
          <t>Equip.</t>
        </is>
      </c>
    </row>
    <row r="4">
      <c r="A4" s="44">
        <f>IF('Resumo por Dia'!$A4="","",'Resumo por Dia'!$A4)</f>
        <v/>
      </c>
      <c r="B4" s="45">
        <f>IF('Resumo por Dia'!$A4="","",'Resumo por Dia'!$D4)</f>
        <v/>
      </c>
      <c r="C4" s="46">
        <f>IF('Resumo por Dia'!$A4="","",'Resumo por Dia'!$E4)</f>
        <v/>
      </c>
      <c r="D4" s="47">
        <f>IF('Resumo por Dia'!$A4="","",'Resumo por Dia'!$F4)</f>
        <v/>
      </c>
      <c r="E4" s="45">
        <f>IF('Resumo por Dia'!$A4="","",'Resumo por Dia'!$G4)</f>
        <v/>
      </c>
      <c r="F4" s="47">
        <f>IF('Resumo por Dia'!$A4="","",'Resumo por Dia'!$H4)</f>
        <v/>
      </c>
      <c r="G4" s="45">
        <f>IF('Resumo por Dia'!$A4="","",'Resumo por Dia'!$N4)</f>
        <v/>
      </c>
      <c r="H4" s="45">
        <f>IF('Resumo por Dia'!$A4="","",'Resumo por Dia'!$B4)</f>
        <v/>
      </c>
    </row>
    <row r="5">
      <c r="A5" s="44">
        <f>IF('Resumo por Dia'!$A5="","",'Resumo por Dia'!$A5)</f>
        <v/>
      </c>
      <c r="B5" s="45">
        <f>IF('Resumo por Dia'!$A5="","",'Resumo por Dia'!$D5)</f>
        <v/>
      </c>
      <c r="C5" s="46">
        <f>IF('Resumo por Dia'!$A5="","",'Resumo por Dia'!$E5)</f>
        <v/>
      </c>
      <c r="D5" s="47">
        <f>IF('Resumo por Dia'!$A5="","",'Resumo por Dia'!$F5)</f>
        <v/>
      </c>
      <c r="E5" s="45">
        <f>IF('Resumo por Dia'!$A5="","",'Resumo por Dia'!$G5)</f>
        <v/>
      </c>
      <c r="F5" s="47">
        <f>IF('Resumo por Dia'!$A5="","",'Resumo por Dia'!$H5)</f>
        <v/>
      </c>
      <c r="G5" s="45">
        <f>IF('Resumo por Dia'!$A5="","",'Resumo por Dia'!$N5)</f>
        <v/>
      </c>
      <c r="H5" s="45">
        <f>IF('Resumo por Dia'!$A5="","",'Resumo por Dia'!$B5)</f>
        <v/>
      </c>
    </row>
    <row r="6">
      <c r="A6" s="44">
        <f>IF('Resumo por Dia'!$A6="","",'Resumo por Dia'!$A6)</f>
        <v/>
      </c>
      <c r="B6" s="45">
        <f>IF('Resumo por Dia'!$A6="","",'Resumo por Dia'!$D6)</f>
        <v/>
      </c>
      <c r="C6" s="46">
        <f>IF('Resumo por Dia'!$A6="","",'Resumo por Dia'!$E6)</f>
        <v/>
      </c>
      <c r="D6" s="47">
        <f>IF('Resumo por Dia'!$A6="","",'Resumo por Dia'!$F6)</f>
        <v/>
      </c>
      <c r="E6" s="45">
        <f>IF('Resumo por Dia'!$A6="","",'Resumo por Dia'!$G6)</f>
        <v/>
      </c>
      <c r="F6" s="47">
        <f>IF('Resumo por Dia'!$A6="","",'Resumo por Dia'!$H6)</f>
        <v/>
      </c>
      <c r="G6" s="45">
        <f>IF('Resumo por Dia'!$A6="","",'Resumo por Dia'!$N6)</f>
        <v/>
      </c>
      <c r="H6" s="45">
        <f>IF('Resumo por Dia'!$A6="","",'Resumo por Dia'!$B6)</f>
        <v/>
      </c>
    </row>
    <row r="7">
      <c r="A7" s="44">
        <f>IF('Resumo por Dia'!$A7="","",'Resumo por Dia'!$A7)</f>
        <v/>
      </c>
      <c r="B7" s="45">
        <f>IF('Resumo por Dia'!$A7="","",'Resumo por Dia'!$D7)</f>
        <v/>
      </c>
      <c r="C7" s="46">
        <f>IF('Resumo por Dia'!$A7="","",'Resumo por Dia'!$E7)</f>
        <v/>
      </c>
      <c r="D7" s="47">
        <f>IF('Resumo por Dia'!$A7="","",'Resumo por Dia'!$F7)</f>
        <v/>
      </c>
      <c r="E7" s="45">
        <f>IF('Resumo por Dia'!$A7="","",'Resumo por Dia'!$G7)</f>
        <v/>
      </c>
      <c r="F7" s="47">
        <f>IF('Resumo por Dia'!$A7="","",'Resumo por Dia'!$H7)</f>
        <v/>
      </c>
      <c r="G7" s="45">
        <f>IF('Resumo por Dia'!$A7="","",'Resumo por Dia'!$N7)</f>
        <v/>
      </c>
      <c r="H7" s="45">
        <f>IF('Resumo por Dia'!$A7="","",'Resumo por Dia'!$B7)</f>
        <v/>
      </c>
    </row>
    <row r="8">
      <c r="A8" s="44">
        <f>IF('Resumo por Dia'!$A8="","",'Resumo por Dia'!$A8)</f>
        <v/>
      </c>
      <c r="B8" s="45">
        <f>IF('Resumo por Dia'!$A8="","",'Resumo por Dia'!$D8)</f>
        <v/>
      </c>
      <c r="C8" s="46">
        <f>IF('Resumo por Dia'!$A8="","",'Resumo por Dia'!$E8)</f>
        <v/>
      </c>
      <c r="D8" s="47">
        <f>IF('Resumo por Dia'!$A8="","",'Resumo por Dia'!$F8)</f>
        <v/>
      </c>
      <c r="E8" s="45">
        <f>IF('Resumo por Dia'!$A8="","",'Resumo por Dia'!$G8)</f>
        <v/>
      </c>
      <c r="F8" s="47">
        <f>IF('Resumo por Dia'!$A8="","",'Resumo por Dia'!$H8)</f>
        <v/>
      </c>
      <c r="G8" s="45">
        <f>IF('Resumo por Dia'!$A8="","",'Resumo por Dia'!$N8)</f>
        <v/>
      </c>
      <c r="H8" s="45">
        <f>IF('Resumo por Dia'!$A8="","",'Resumo por Dia'!$B8)</f>
        <v/>
      </c>
    </row>
    <row r="9">
      <c r="A9" s="44">
        <f>IF('Resumo por Dia'!$A9="","",'Resumo por Dia'!$A9)</f>
        <v/>
      </c>
      <c r="B9" s="45">
        <f>IF('Resumo por Dia'!$A9="","",'Resumo por Dia'!$D9)</f>
        <v/>
      </c>
      <c r="C9" s="46">
        <f>IF('Resumo por Dia'!$A9="","",'Resumo por Dia'!$E9)</f>
        <v/>
      </c>
      <c r="D9" s="47">
        <f>IF('Resumo por Dia'!$A9="","",'Resumo por Dia'!$F9)</f>
        <v/>
      </c>
      <c r="E9" s="45">
        <f>IF('Resumo por Dia'!$A9="","",'Resumo por Dia'!$G9)</f>
        <v/>
      </c>
      <c r="F9" s="47">
        <f>IF('Resumo por Dia'!$A9="","",'Resumo por Dia'!$H9)</f>
        <v/>
      </c>
      <c r="G9" s="45">
        <f>IF('Resumo por Dia'!$A9="","",'Resumo por Dia'!$N9)</f>
        <v/>
      </c>
      <c r="H9" s="45">
        <f>IF('Resumo por Dia'!$A9="","",'Resumo por Dia'!$B9)</f>
        <v/>
      </c>
    </row>
    <row r="10">
      <c r="A10" s="44">
        <f>IF('Resumo por Dia'!$A10="","",'Resumo por Dia'!$A10)</f>
        <v/>
      </c>
      <c r="B10" s="45">
        <f>IF('Resumo por Dia'!$A10="","",'Resumo por Dia'!$D10)</f>
        <v/>
      </c>
      <c r="C10" s="46">
        <f>IF('Resumo por Dia'!$A10="","",'Resumo por Dia'!$E10)</f>
        <v/>
      </c>
      <c r="D10" s="47">
        <f>IF('Resumo por Dia'!$A10="","",'Resumo por Dia'!$F10)</f>
        <v/>
      </c>
      <c r="E10" s="45">
        <f>IF('Resumo por Dia'!$A10="","",'Resumo por Dia'!$G10)</f>
        <v/>
      </c>
      <c r="F10" s="47">
        <f>IF('Resumo por Dia'!$A10="","",'Resumo por Dia'!$H10)</f>
        <v/>
      </c>
      <c r="G10" s="45">
        <f>IF('Resumo por Dia'!$A10="","",'Resumo por Dia'!$N10)</f>
        <v/>
      </c>
      <c r="H10" s="45">
        <f>IF('Resumo por Dia'!$A10="","",'Resumo por Dia'!$B10)</f>
        <v/>
      </c>
    </row>
    <row r="11">
      <c r="A11" s="44">
        <f>IF('Resumo por Dia'!$A11="","",'Resumo por Dia'!$A11)</f>
        <v/>
      </c>
      <c r="B11" s="45">
        <f>IF('Resumo por Dia'!$A11="","",'Resumo por Dia'!$D11)</f>
        <v/>
      </c>
      <c r="C11" s="46">
        <f>IF('Resumo por Dia'!$A11="","",'Resumo por Dia'!$E11)</f>
        <v/>
      </c>
      <c r="D11" s="47">
        <f>IF('Resumo por Dia'!$A11="","",'Resumo por Dia'!$F11)</f>
        <v/>
      </c>
      <c r="E11" s="45">
        <f>IF('Resumo por Dia'!$A11="","",'Resumo por Dia'!$G11)</f>
        <v/>
      </c>
      <c r="F11" s="47">
        <f>IF('Resumo por Dia'!$A11="","",'Resumo por Dia'!$H11)</f>
        <v/>
      </c>
      <c r="G11" s="45">
        <f>IF('Resumo por Dia'!$A11="","",'Resumo por Dia'!$N11)</f>
        <v/>
      </c>
      <c r="H11" s="45">
        <f>IF('Resumo por Dia'!$A11="","",'Resumo por Dia'!$B11)</f>
        <v/>
      </c>
    </row>
    <row r="12">
      <c r="A12" s="44">
        <f>IF('Resumo por Dia'!$A12="","",'Resumo por Dia'!$A12)</f>
        <v/>
      </c>
      <c r="B12" s="45">
        <f>IF('Resumo por Dia'!$A12="","",'Resumo por Dia'!$D12)</f>
        <v/>
      </c>
      <c r="C12" s="46">
        <f>IF('Resumo por Dia'!$A12="","",'Resumo por Dia'!$E12)</f>
        <v/>
      </c>
      <c r="D12" s="47">
        <f>IF('Resumo por Dia'!$A12="","",'Resumo por Dia'!$F12)</f>
        <v/>
      </c>
      <c r="E12" s="45">
        <f>IF('Resumo por Dia'!$A12="","",'Resumo por Dia'!$G12)</f>
        <v/>
      </c>
      <c r="F12" s="47">
        <f>IF('Resumo por Dia'!$A12="","",'Resumo por Dia'!$H12)</f>
        <v/>
      </c>
      <c r="G12" s="45">
        <f>IF('Resumo por Dia'!$A12="","",'Resumo por Dia'!$N12)</f>
        <v/>
      </c>
      <c r="H12" s="45">
        <f>IF('Resumo por Dia'!$A12="","",'Resumo por Dia'!$B12)</f>
        <v/>
      </c>
    </row>
    <row r="13">
      <c r="A13" s="44">
        <f>IF('Resumo por Dia'!$A13="","",'Resumo por Dia'!$A13)</f>
        <v/>
      </c>
      <c r="B13" s="45">
        <f>IF('Resumo por Dia'!$A13="","",'Resumo por Dia'!$D13)</f>
        <v/>
      </c>
      <c r="C13" s="46">
        <f>IF('Resumo por Dia'!$A13="","",'Resumo por Dia'!$E13)</f>
        <v/>
      </c>
      <c r="D13" s="47">
        <f>IF('Resumo por Dia'!$A13="","",'Resumo por Dia'!$F13)</f>
        <v/>
      </c>
      <c r="E13" s="45">
        <f>IF('Resumo por Dia'!$A13="","",'Resumo por Dia'!$G13)</f>
        <v/>
      </c>
      <c r="F13" s="47">
        <f>IF('Resumo por Dia'!$A13="","",'Resumo por Dia'!$H13)</f>
        <v/>
      </c>
      <c r="G13" s="45">
        <f>IF('Resumo por Dia'!$A13="","",'Resumo por Dia'!$N13)</f>
        <v/>
      </c>
      <c r="H13" s="45">
        <f>IF('Resumo por Dia'!$A13="","",'Resumo por Dia'!$B13)</f>
        <v/>
      </c>
    </row>
    <row r="14">
      <c r="A14" s="44">
        <f>IF('Resumo por Dia'!$A14="","",'Resumo por Dia'!$A14)</f>
        <v/>
      </c>
      <c r="B14" s="45">
        <f>IF('Resumo por Dia'!$A14="","",'Resumo por Dia'!$D14)</f>
        <v/>
      </c>
      <c r="C14" s="46">
        <f>IF('Resumo por Dia'!$A14="","",'Resumo por Dia'!$E14)</f>
        <v/>
      </c>
      <c r="D14" s="47">
        <f>IF('Resumo por Dia'!$A14="","",'Resumo por Dia'!$F14)</f>
        <v/>
      </c>
      <c r="E14" s="45">
        <f>IF('Resumo por Dia'!$A14="","",'Resumo por Dia'!$G14)</f>
        <v/>
      </c>
      <c r="F14" s="47">
        <f>IF('Resumo por Dia'!$A14="","",'Resumo por Dia'!$H14)</f>
        <v/>
      </c>
      <c r="G14" s="45">
        <f>IF('Resumo por Dia'!$A14="","",'Resumo por Dia'!$N14)</f>
        <v/>
      </c>
      <c r="H14" s="45">
        <f>IF('Resumo por Dia'!$A14="","",'Resumo por Dia'!$B14)</f>
        <v/>
      </c>
    </row>
    <row r="15">
      <c r="A15" s="44">
        <f>IF('Resumo por Dia'!$A15="","",'Resumo por Dia'!$A15)</f>
        <v/>
      </c>
      <c r="B15" s="45">
        <f>IF('Resumo por Dia'!$A15="","",'Resumo por Dia'!$D15)</f>
        <v/>
      </c>
      <c r="C15" s="46">
        <f>IF('Resumo por Dia'!$A15="","",'Resumo por Dia'!$E15)</f>
        <v/>
      </c>
      <c r="D15" s="47">
        <f>IF('Resumo por Dia'!$A15="","",'Resumo por Dia'!$F15)</f>
        <v/>
      </c>
      <c r="E15" s="45">
        <f>IF('Resumo por Dia'!$A15="","",'Resumo por Dia'!$G15)</f>
        <v/>
      </c>
      <c r="F15" s="47">
        <f>IF('Resumo por Dia'!$A15="","",'Resumo por Dia'!$H15)</f>
        <v/>
      </c>
      <c r="G15" s="45">
        <f>IF('Resumo por Dia'!$A15="","",'Resumo por Dia'!$N15)</f>
        <v/>
      </c>
      <c r="H15" s="45">
        <f>IF('Resumo por Dia'!$A15="","",'Resumo por Dia'!$B15)</f>
        <v/>
      </c>
    </row>
    <row r="16">
      <c r="A16" s="44">
        <f>IF('Resumo por Dia'!$A16="","",'Resumo por Dia'!$A16)</f>
        <v/>
      </c>
      <c r="B16" s="45">
        <f>IF('Resumo por Dia'!$A16="","",'Resumo por Dia'!$D16)</f>
        <v/>
      </c>
      <c r="C16" s="46">
        <f>IF('Resumo por Dia'!$A16="","",'Resumo por Dia'!$E16)</f>
        <v/>
      </c>
      <c r="D16" s="47">
        <f>IF('Resumo por Dia'!$A16="","",'Resumo por Dia'!$F16)</f>
        <v/>
      </c>
      <c r="E16" s="45">
        <f>IF('Resumo por Dia'!$A16="","",'Resumo por Dia'!$G16)</f>
        <v/>
      </c>
      <c r="F16" s="47">
        <f>IF('Resumo por Dia'!$A16="","",'Resumo por Dia'!$H16)</f>
        <v/>
      </c>
      <c r="G16" s="45">
        <f>IF('Resumo por Dia'!$A16="","",'Resumo por Dia'!$N16)</f>
        <v/>
      </c>
      <c r="H16" s="45">
        <f>IF('Resumo por Dia'!$A16="","",'Resumo por Dia'!$B16)</f>
        <v/>
      </c>
    </row>
    <row r="17">
      <c r="A17" s="44">
        <f>IF('Resumo por Dia'!$A17="","",'Resumo por Dia'!$A17)</f>
        <v/>
      </c>
      <c r="B17" s="45">
        <f>IF('Resumo por Dia'!$A17="","",'Resumo por Dia'!$D17)</f>
        <v/>
      </c>
      <c r="C17" s="46">
        <f>IF('Resumo por Dia'!$A17="","",'Resumo por Dia'!$E17)</f>
        <v/>
      </c>
      <c r="D17" s="47">
        <f>IF('Resumo por Dia'!$A17="","",'Resumo por Dia'!$F17)</f>
        <v/>
      </c>
      <c r="E17" s="45">
        <f>IF('Resumo por Dia'!$A17="","",'Resumo por Dia'!$G17)</f>
        <v/>
      </c>
      <c r="F17" s="47">
        <f>IF('Resumo por Dia'!$A17="","",'Resumo por Dia'!$H17)</f>
        <v/>
      </c>
      <c r="G17" s="45">
        <f>IF('Resumo por Dia'!$A17="","",'Resumo por Dia'!$N17)</f>
        <v/>
      </c>
      <c r="H17" s="45">
        <f>IF('Resumo por Dia'!$A17="","",'Resumo por Dia'!$B17)</f>
        <v/>
      </c>
    </row>
    <row r="18">
      <c r="A18" s="44">
        <f>IF('Resumo por Dia'!$A18="","",'Resumo por Dia'!$A18)</f>
        <v/>
      </c>
      <c r="B18" s="45">
        <f>IF('Resumo por Dia'!$A18="","",'Resumo por Dia'!$D18)</f>
        <v/>
      </c>
      <c r="C18" s="46">
        <f>IF('Resumo por Dia'!$A18="","",'Resumo por Dia'!$E18)</f>
        <v/>
      </c>
      <c r="D18" s="47">
        <f>IF('Resumo por Dia'!$A18="","",'Resumo por Dia'!$F18)</f>
        <v/>
      </c>
      <c r="E18" s="45">
        <f>IF('Resumo por Dia'!$A18="","",'Resumo por Dia'!$G18)</f>
        <v/>
      </c>
      <c r="F18" s="47">
        <f>IF('Resumo por Dia'!$A18="","",'Resumo por Dia'!$H18)</f>
        <v/>
      </c>
      <c r="G18" s="45">
        <f>IF('Resumo por Dia'!$A18="","",'Resumo por Dia'!$N18)</f>
        <v/>
      </c>
      <c r="H18" s="45">
        <f>IF('Resumo por Dia'!$A18="","",'Resumo por Dia'!$B18)</f>
        <v/>
      </c>
    </row>
    <row r="19">
      <c r="A19" s="44">
        <f>IF('Resumo por Dia'!$A19="","",'Resumo por Dia'!$A19)</f>
        <v/>
      </c>
      <c r="B19" s="45">
        <f>IF('Resumo por Dia'!$A19="","",'Resumo por Dia'!$D19)</f>
        <v/>
      </c>
      <c r="C19" s="46">
        <f>IF('Resumo por Dia'!$A19="","",'Resumo por Dia'!$E19)</f>
        <v/>
      </c>
      <c r="D19" s="47">
        <f>IF('Resumo por Dia'!$A19="","",'Resumo por Dia'!$F19)</f>
        <v/>
      </c>
      <c r="E19" s="45">
        <f>IF('Resumo por Dia'!$A19="","",'Resumo por Dia'!$G19)</f>
        <v/>
      </c>
      <c r="F19" s="47">
        <f>IF('Resumo por Dia'!$A19="","",'Resumo por Dia'!$H19)</f>
        <v/>
      </c>
      <c r="G19" s="45">
        <f>IF('Resumo por Dia'!$A19="","",'Resumo por Dia'!$N19)</f>
        <v/>
      </c>
      <c r="H19" s="45">
        <f>IF('Resumo por Dia'!$A19="","",'Resumo por Dia'!$B19)</f>
        <v/>
      </c>
    </row>
    <row r="20">
      <c r="A20" s="44">
        <f>IF('Resumo por Dia'!$A20="","",'Resumo por Dia'!$A20)</f>
        <v/>
      </c>
      <c r="B20" s="45">
        <f>IF('Resumo por Dia'!$A20="","",'Resumo por Dia'!$D20)</f>
        <v/>
      </c>
      <c r="C20" s="46">
        <f>IF('Resumo por Dia'!$A20="","",'Resumo por Dia'!$E20)</f>
        <v/>
      </c>
      <c r="D20" s="47">
        <f>IF('Resumo por Dia'!$A20="","",'Resumo por Dia'!$F20)</f>
        <v/>
      </c>
      <c r="E20" s="45">
        <f>IF('Resumo por Dia'!$A20="","",'Resumo por Dia'!$G20)</f>
        <v/>
      </c>
      <c r="F20" s="47">
        <f>IF('Resumo por Dia'!$A20="","",'Resumo por Dia'!$H20)</f>
        <v/>
      </c>
      <c r="G20" s="45">
        <f>IF('Resumo por Dia'!$A20="","",'Resumo por Dia'!$N20)</f>
        <v/>
      </c>
      <c r="H20" s="45">
        <f>IF('Resumo por Dia'!$A20="","",'Resumo por Dia'!$B20)</f>
        <v/>
      </c>
    </row>
    <row r="21">
      <c r="A21" s="44">
        <f>IF('Resumo por Dia'!$A21="","",'Resumo por Dia'!$A21)</f>
        <v/>
      </c>
      <c r="B21" s="45">
        <f>IF('Resumo por Dia'!$A21="","",'Resumo por Dia'!$D21)</f>
        <v/>
      </c>
      <c r="C21" s="46">
        <f>IF('Resumo por Dia'!$A21="","",'Resumo por Dia'!$E21)</f>
        <v/>
      </c>
      <c r="D21" s="47">
        <f>IF('Resumo por Dia'!$A21="","",'Resumo por Dia'!$F21)</f>
        <v/>
      </c>
      <c r="E21" s="45">
        <f>IF('Resumo por Dia'!$A21="","",'Resumo por Dia'!$G21)</f>
        <v/>
      </c>
      <c r="F21" s="47">
        <f>IF('Resumo por Dia'!$A21="","",'Resumo por Dia'!$H21)</f>
        <v/>
      </c>
      <c r="G21" s="45">
        <f>IF('Resumo por Dia'!$A21="","",'Resumo por Dia'!$N21)</f>
        <v/>
      </c>
      <c r="H21" s="45">
        <f>IF('Resumo por Dia'!$A21="","",'Resumo por Dia'!$B21)</f>
        <v/>
      </c>
    </row>
    <row r="22">
      <c r="A22" s="44">
        <f>IF('Resumo por Dia'!$A22="","",'Resumo por Dia'!$A22)</f>
        <v/>
      </c>
      <c r="B22" s="45">
        <f>IF('Resumo por Dia'!$A22="","",'Resumo por Dia'!$D22)</f>
        <v/>
      </c>
      <c r="C22" s="46">
        <f>IF('Resumo por Dia'!$A22="","",'Resumo por Dia'!$E22)</f>
        <v/>
      </c>
      <c r="D22" s="47">
        <f>IF('Resumo por Dia'!$A22="","",'Resumo por Dia'!$F22)</f>
        <v/>
      </c>
      <c r="E22" s="45">
        <f>IF('Resumo por Dia'!$A22="","",'Resumo por Dia'!$G22)</f>
        <v/>
      </c>
      <c r="F22" s="47">
        <f>IF('Resumo por Dia'!$A22="","",'Resumo por Dia'!$H22)</f>
        <v/>
      </c>
      <c r="G22" s="45">
        <f>IF('Resumo por Dia'!$A22="","",'Resumo por Dia'!$N22)</f>
        <v/>
      </c>
      <c r="H22" s="45">
        <f>IF('Resumo por Dia'!$A22="","",'Resumo por Dia'!$B22)</f>
        <v/>
      </c>
    </row>
    <row r="23">
      <c r="A23" s="44">
        <f>IF('Resumo por Dia'!$A23="","",'Resumo por Dia'!$A23)</f>
        <v/>
      </c>
      <c r="B23" s="45">
        <f>IF('Resumo por Dia'!$A23="","",'Resumo por Dia'!$D23)</f>
        <v/>
      </c>
      <c r="C23" s="46">
        <f>IF('Resumo por Dia'!$A23="","",'Resumo por Dia'!$E23)</f>
        <v/>
      </c>
      <c r="D23" s="47">
        <f>IF('Resumo por Dia'!$A23="","",'Resumo por Dia'!$F23)</f>
        <v/>
      </c>
      <c r="E23" s="45">
        <f>IF('Resumo por Dia'!$A23="","",'Resumo por Dia'!$G23)</f>
        <v/>
      </c>
      <c r="F23" s="47">
        <f>IF('Resumo por Dia'!$A23="","",'Resumo por Dia'!$H23)</f>
        <v/>
      </c>
      <c r="G23" s="45">
        <f>IF('Resumo por Dia'!$A23="","",'Resumo por Dia'!$N23)</f>
        <v/>
      </c>
      <c r="H23" s="45">
        <f>IF('Resumo por Dia'!$A23="","",'Resumo por Dia'!$B23)</f>
        <v/>
      </c>
    </row>
    <row r="24">
      <c r="A24" s="44">
        <f>IF('Resumo por Dia'!$A24="","",'Resumo por Dia'!$A24)</f>
        <v/>
      </c>
      <c r="B24" s="45">
        <f>IF('Resumo por Dia'!$A24="","",'Resumo por Dia'!$D24)</f>
        <v/>
      </c>
      <c r="C24" s="46">
        <f>IF('Resumo por Dia'!$A24="","",'Resumo por Dia'!$E24)</f>
        <v/>
      </c>
      <c r="D24" s="47">
        <f>IF('Resumo por Dia'!$A24="","",'Resumo por Dia'!$F24)</f>
        <v/>
      </c>
      <c r="E24" s="45">
        <f>IF('Resumo por Dia'!$A24="","",'Resumo por Dia'!$G24)</f>
        <v/>
      </c>
      <c r="F24" s="47">
        <f>IF('Resumo por Dia'!$A24="","",'Resumo por Dia'!$H24)</f>
        <v/>
      </c>
      <c r="G24" s="45">
        <f>IF('Resumo por Dia'!$A24="","",'Resumo por Dia'!$N24)</f>
        <v/>
      </c>
      <c r="H24" s="45">
        <f>IF('Resumo por Dia'!$A24="","",'Resumo por Dia'!$B24)</f>
        <v/>
      </c>
    </row>
    <row r="25">
      <c r="A25" s="44">
        <f>IF('Resumo por Dia'!$A25="","",'Resumo por Dia'!$A25)</f>
        <v/>
      </c>
      <c r="B25" s="45">
        <f>IF('Resumo por Dia'!$A25="","",'Resumo por Dia'!$D25)</f>
        <v/>
      </c>
      <c r="C25" s="46">
        <f>IF('Resumo por Dia'!$A25="","",'Resumo por Dia'!$E25)</f>
        <v/>
      </c>
      <c r="D25" s="47">
        <f>IF('Resumo por Dia'!$A25="","",'Resumo por Dia'!$F25)</f>
        <v/>
      </c>
      <c r="E25" s="45">
        <f>IF('Resumo por Dia'!$A25="","",'Resumo por Dia'!$G25)</f>
        <v/>
      </c>
      <c r="F25" s="47">
        <f>IF('Resumo por Dia'!$A25="","",'Resumo por Dia'!$H25)</f>
        <v/>
      </c>
      <c r="G25" s="45">
        <f>IF('Resumo por Dia'!$A25="","",'Resumo por Dia'!$N25)</f>
        <v/>
      </c>
      <c r="H25" s="45">
        <f>IF('Resumo por Dia'!$A25="","",'Resumo por Dia'!$B25)</f>
        <v/>
      </c>
    </row>
    <row r="26">
      <c r="A26" s="44">
        <f>IF('Resumo por Dia'!$A26="","",'Resumo por Dia'!$A26)</f>
        <v/>
      </c>
      <c r="B26" s="45">
        <f>IF('Resumo por Dia'!$A26="","",'Resumo por Dia'!$D26)</f>
        <v/>
      </c>
      <c r="C26" s="46">
        <f>IF('Resumo por Dia'!$A26="","",'Resumo por Dia'!$E26)</f>
        <v/>
      </c>
      <c r="D26" s="47">
        <f>IF('Resumo por Dia'!$A26="","",'Resumo por Dia'!$F26)</f>
        <v/>
      </c>
      <c r="E26" s="45">
        <f>IF('Resumo por Dia'!$A26="","",'Resumo por Dia'!$G26)</f>
        <v/>
      </c>
      <c r="F26" s="47">
        <f>IF('Resumo por Dia'!$A26="","",'Resumo por Dia'!$H26)</f>
        <v/>
      </c>
      <c r="G26" s="45">
        <f>IF('Resumo por Dia'!$A26="","",'Resumo por Dia'!$N26)</f>
        <v/>
      </c>
      <c r="H26" s="45">
        <f>IF('Resumo por Dia'!$A26="","",'Resumo por Dia'!$B26)</f>
        <v/>
      </c>
    </row>
    <row r="27">
      <c r="A27" s="44">
        <f>IF('Resumo por Dia'!$A27="","",'Resumo por Dia'!$A27)</f>
        <v/>
      </c>
      <c r="B27" s="45">
        <f>IF('Resumo por Dia'!$A27="","",'Resumo por Dia'!$D27)</f>
        <v/>
      </c>
      <c r="C27" s="46">
        <f>IF('Resumo por Dia'!$A27="","",'Resumo por Dia'!$E27)</f>
        <v/>
      </c>
      <c r="D27" s="47">
        <f>IF('Resumo por Dia'!$A27="","",'Resumo por Dia'!$F27)</f>
        <v/>
      </c>
      <c r="E27" s="45">
        <f>IF('Resumo por Dia'!$A27="","",'Resumo por Dia'!$G27)</f>
        <v/>
      </c>
      <c r="F27" s="47">
        <f>IF('Resumo por Dia'!$A27="","",'Resumo por Dia'!$H27)</f>
        <v/>
      </c>
      <c r="G27" s="45">
        <f>IF('Resumo por Dia'!$A27="","",'Resumo por Dia'!$N27)</f>
        <v/>
      </c>
      <c r="H27" s="45">
        <f>IF('Resumo por Dia'!$A27="","",'Resumo por Dia'!$B27)</f>
        <v/>
      </c>
    </row>
    <row r="28">
      <c r="A28" s="44">
        <f>IF('Resumo por Dia'!$A28="","",'Resumo por Dia'!$A28)</f>
        <v/>
      </c>
      <c r="B28" s="45">
        <f>IF('Resumo por Dia'!$A28="","",'Resumo por Dia'!$D28)</f>
        <v/>
      </c>
      <c r="C28" s="46">
        <f>IF('Resumo por Dia'!$A28="","",'Resumo por Dia'!$E28)</f>
        <v/>
      </c>
      <c r="D28" s="47">
        <f>IF('Resumo por Dia'!$A28="","",'Resumo por Dia'!$F28)</f>
        <v/>
      </c>
      <c r="E28" s="45">
        <f>IF('Resumo por Dia'!$A28="","",'Resumo por Dia'!$G28)</f>
        <v/>
      </c>
      <c r="F28" s="47">
        <f>IF('Resumo por Dia'!$A28="","",'Resumo por Dia'!$H28)</f>
        <v/>
      </c>
      <c r="G28" s="45">
        <f>IF('Resumo por Dia'!$A28="","",'Resumo por Dia'!$N28)</f>
        <v/>
      </c>
      <c r="H28" s="45">
        <f>IF('Resumo por Dia'!$A28="","",'Resumo por Dia'!$B28)</f>
        <v/>
      </c>
    </row>
    <row r="29">
      <c r="A29" s="44">
        <f>IF('Resumo por Dia'!$A29="","",'Resumo por Dia'!$A29)</f>
        <v/>
      </c>
      <c r="B29" s="45">
        <f>IF('Resumo por Dia'!$A29="","",'Resumo por Dia'!$D29)</f>
        <v/>
      </c>
      <c r="C29" s="46">
        <f>IF('Resumo por Dia'!$A29="","",'Resumo por Dia'!$E29)</f>
        <v/>
      </c>
      <c r="D29" s="47">
        <f>IF('Resumo por Dia'!$A29="","",'Resumo por Dia'!$F29)</f>
        <v/>
      </c>
      <c r="E29" s="45">
        <f>IF('Resumo por Dia'!$A29="","",'Resumo por Dia'!$G29)</f>
        <v/>
      </c>
      <c r="F29" s="47">
        <f>IF('Resumo por Dia'!$A29="","",'Resumo por Dia'!$H29)</f>
        <v/>
      </c>
      <c r="G29" s="45">
        <f>IF('Resumo por Dia'!$A29="","",'Resumo por Dia'!$N29)</f>
        <v/>
      </c>
      <c r="H29" s="45">
        <f>IF('Resumo por Dia'!$A29="","",'Resumo por Dia'!$B29)</f>
        <v/>
      </c>
    </row>
    <row r="30">
      <c r="A30" s="44">
        <f>IF('Resumo por Dia'!$A30="","",'Resumo por Dia'!$A30)</f>
        <v/>
      </c>
      <c r="B30" s="45">
        <f>IF('Resumo por Dia'!$A30="","",'Resumo por Dia'!$D30)</f>
        <v/>
      </c>
      <c r="C30" s="46">
        <f>IF('Resumo por Dia'!$A30="","",'Resumo por Dia'!$E30)</f>
        <v/>
      </c>
      <c r="D30" s="47">
        <f>IF('Resumo por Dia'!$A30="","",'Resumo por Dia'!$F30)</f>
        <v/>
      </c>
      <c r="E30" s="45">
        <f>IF('Resumo por Dia'!$A30="","",'Resumo por Dia'!$G30)</f>
        <v/>
      </c>
      <c r="F30" s="47">
        <f>IF('Resumo por Dia'!$A30="","",'Resumo por Dia'!$H30)</f>
        <v/>
      </c>
      <c r="G30" s="45">
        <f>IF('Resumo por Dia'!$A30="","",'Resumo por Dia'!$N30)</f>
        <v/>
      </c>
      <c r="H30" s="45">
        <f>IF('Resumo por Dia'!$A30="","",'Resumo por Dia'!$B30)</f>
        <v/>
      </c>
    </row>
    <row r="31">
      <c r="A31" s="44">
        <f>IF('Resumo por Dia'!$A31="","",'Resumo por Dia'!$A31)</f>
        <v/>
      </c>
      <c r="B31" s="45">
        <f>IF('Resumo por Dia'!$A31="","",'Resumo por Dia'!$D31)</f>
        <v/>
      </c>
      <c r="C31" s="46">
        <f>IF('Resumo por Dia'!$A31="","",'Resumo por Dia'!$E31)</f>
        <v/>
      </c>
      <c r="D31" s="47">
        <f>IF('Resumo por Dia'!$A31="","",'Resumo por Dia'!$F31)</f>
        <v/>
      </c>
      <c r="E31" s="45">
        <f>IF('Resumo por Dia'!$A31="","",'Resumo por Dia'!$G31)</f>
        <v/>
      </c>
      <c r="F31" s="47">
        <f>IF('Resumo por Dia'!$A31="","",'Resumo por Dia'!$H31)</f>
        <v/>
      </c>
      <c r="G31" s="45">
        <f>IF('Resumo por Dia'!$A31="","",'Resumo por Dia'!$N31)</f>
        <v/>
      </c>
      <c r="H31" s="45">
        <f>IF('Resumo por Dia'!$A31="","",'Resumo por Dia'!$B31)</f>
        <v/>
      </c>
    </row>
    <row r="32">
      <c r="A32" s="44">
        <f>IF('Resumo por Dia'!$A32="","",'Resumo por Dia'!$A32)</f>
        <v/>
      </c>
      <c r="B32" s="45">
        <f>IF('Resumo por Dia'!$A32="","",'Resumo por Dia'!$D32)</f>
        <v/>
      </c>
      <c r="C32" s="46">
        <f>IF('Resumo por Dia'!$A32="","",'Resumo por Dia'!$E32)</f>
        <v/>
      </c>
      <c r="D32" s="47">
        <f>IF('Resumo por Dia'!$A32="","",'Resumo por Dia'!$F32)</f>
        <v/>
      </c>
      <c r="E32" s="45">
        <f>IF('Resumo por Dia'!$A32="","",'Resumo por Dia'!$G32)</f>
        <v/>
      </c>
      <c r="F32" s="47">
        <f>IF('Resumo por Dia'!$A32="","",'Resumo por Dia'!$H32)</f>
        <v/>
      </c>
      <c r="G32" s="45">
        <f>IF('Resumo por Dia'!$A32="","",'Resumo por Dia'!$N32)</f>
        <v/>
      </c>
      <c r="H32" s="45">
        <f>IF('Resumo por Dia'!$A32="","",'Resumo por Dia'!$B32)</f>
        <v/>
      </c>
    </row>
    <row r="33">
      <c r="A33" s="44">
        <f>IF('Resumo por Dia'!$A33="","",'Resumo por Dia'!$A33)</f>
        <v/>
      </c>
      <c r="B33" s="45">
        <f>IF('Resumo por Dia'!$A33="","",'Resumo por Dia'!$D33)</f>
        <v/>
      </c>
      <c r="C33" s="46">
        <f>IF('Resumo por Dia'!$A33="","",'Resumo por Dia'!$E33)</f>
        <v/>
      </c>
      <c r="D33" s="47">
        <f>IF('Resumo por Dia'!$A33="","",'Resumo por Dia'!$F33)</f>
        <v/>
      </c>
      <c r="E33" s="45">
        <f>IF('Resumo por Dia'!$A33="","",'Resumo por Dia'!$G33)</f>
        <v/>
      </c>
      <c r="F33" s="47">
        <f>IF('Resumo por Dia'!$A33="","",'Resumo por Dia'!$H33)</f>
        <v/>
      </c>
      <c r="G33" s="45">
        <f>IF('Resumo por Dia'!$A33="","",'Resumo por Dia'!$N33)</f>
        <v/>
      </c>
      <c r="H33" s="45">
        <f>IF('Resumo por Dia'!$A33="","",'Resumo por Dia'!$B33)</f>
        <v/>
      </c>
    </row>
    <row r="34">
      <c r="A34" s="44">
        <f>IF('Resumo por Dia'!$A34="","",'Resumo por Dia'!$A34)</f>
        <v/>
      </c>
      <c r="B34" s="45">
        <f>IF('Resumo por Dia'!$A34="","",'Resumo por Dia'!$D34)</f>
        <v/>
      </c>
      <c r="C34" s="46">
        <f>IF('Resumo por Dia'!$A34="","",'Resumo por Dia'!$E34)</f>
        <v/>
      </c>
      <c r="D34" s="47">
        <f>IF('Resumo por Dia'!$A34="","",'Resumo por Dia'!$F34)</f>
        <v/>
      </c>
      <c r="E34" s="45">
        <f>IF('Resumo por Dia'!$A34="","",'Resumo por Dia'!$G34)</f>
        <v/>
      </c>
      <c r="F34" s="47">
        <f>IF('Resumo por Dia'!$A34="","",'Resumo por Dia'!$H34)</f>
        <v/>
      </c>
      <c r="G34" s="45">
        <f>IF('Resumo por Dia'!$A34="","",'Resumo por Dia'!$N34)</f>
        <v/>
      </c>
      <c r="H34" s="45">
        <f>IF('Resumo por Dia'!$A34="","",'Resumo por Dia'!$B34)</f>
        <v/>
      </c>
    </row>
    <row r="35">
      <c r="A35" s="44">
        <f>IF('Resumo por Dia'!$A35="","",'Resumo por Dia'!$A35)</f>
        <v/>
      </c>
      <c r="B35" s="45">
        <f>IF('Resumo por Dia'!$A35="","",'Resumo por Dia'!$D35)</f>
        <v/>
      </c>
      <c r="C35" s="46">
        <f>IF('Resumo por Dia'!$A35="","",'Resumo por Dia'!$E35)</f>
        <v/>
      </c>
      <c r="D35" s="47">
        <f>IF('Resumo por Dia'!$A35="","",'Resumo por Dia'!$F35)</f>
        <v/>
      </c>
      <c r="E35" s="45">
        <f>IF('Resumo por Dia'!$A35="","",'Resumo por Dia'!$G35)</f>
        <v/>
      </c>
      <c r="F35" s="47">
        <f>IF('Resumo por Dia'!$A35="","",'Resumo por Dia'!$H35)</f>
        <v/>
      </c>
      <c r="G35" s="45">
        <f>IF('Resumo por Dia'!$A35="","",'Resumo por Dia'!$N35)</f>
        <v/>
      </c>
      <c r="H35" s="45">
        <f>IF('Resumo por Dia'!$A35="","",'Resumo por Dia'!$B35)</f>
        <v/>
      </c>
    </row>
    <row r="36">
      <c r="A36" s="44">
        <f>IF('Resumo por Dia'!$A36="","",'Resumo por Dia'!$A36)</f>
        <v/>
      </c>
      <c r="B36" s="45">
        <f>IF('Resumo por Dia'!$A36="","",'Resumo por Dia'!$D36)</f>
        <v/>
      </c>
      <c r="C36" s="46">
        <f>IF('Resumo por Dia'!$A36="","",'Resumo por Dia'!$E36)</f>
        <v/>
      </c>
      <c r="D36" s="47">
        <f>IF('Resumo por Dia'!$A36="","",'Resumo por Dia'!$F36)</f>
        <v/>
      </c>
      <c r="E36" s="45">
        <f>IF('Resumo por Dia'!$A36="","",'Resumo por Dia'!$G36)</f>
        <v/>
      </c>
      <c r="F36" s="47">
        <f>IF('Resumo por Dia'!$A36="","",'Resumo por Dia'!$H36)</f>
        <v/>
      </c>
      <c r="G36" s="45">
        <f>IF('Resumo por Dia'!$A36="","",'Resumo por Dia'!$N36)</f>
        <v/>
      </c>
      <c r="H36" s="45">
        <f>IF('Resumo por Dia'!$A36="","",'Resumo por Dia'!$B36)</f>
        <v/>
      </c>
    </row>
    <row r="37">
      <c r="A37" s="44">
        <f>IF('Resumo por Dia'!$A37="","",'Resumo por Dia'!$A37)</f>
        <v/>
      </c>
      <c r="B37" s="45">
        <f>IF('Resumo por Dia'!$A37="","",'Resumo por Dia'!$D37)</f>
        <v/>
      </c>
      <c r="C37" s="46">
        <f>IF('Resumo por Dia'!$A37="","",'Resumo por Dia'!$E37)</f>
        <v/>
      </c>
      <c r="D37" s="47">
        <f>IF('Resumo por Dia'!$A37="","",'Resumo por Dia'!$F37)</f>
        <v/>
      </c>
      <c r="E37" s="45">
        <f>IF('Resumo por Dia'!$A37="","",'Resumo por Dia'!$G37)</f>
        <v/>
      </c>
      <c r="F37" s="47">
        <f>IF('Resumo por Dia'!$A37="","",'Resumo por Dia'!$H37)</f>
        <v/>
      </c>
      <c r="G37" s="45">
        <f>IF('Resumo por Dia'!$A37="","",'Resumo por Dia'!$N37)</f>
        <v/>
      </c>
      <c r="H37" s="45">
        <f>IF('Resumo por Dia'!$A37="","",'Resumo por Dia'!$B37)</f>
        <v/>
      </c>
    </row>
    <row r="38">
      <c r="A38" s="44">
        <f>IF('Resumo por Dia'!$A38="","",'Resumo por Dia'!$A38)</f>
        <v/>
      </c>
      <c r="B38" s="45">
        <f>IF('Resumo por Dia'!$A38="","",'Resumo por Dia'!$D38)</f>
        <v/>
      </c>
      <c r="C38" s="46">
        <f>IF('Resumo por Dia'!$A38="","",'Resumo por Dia'!$E38)</f>
        <v/>
      </c>
      <c r="D38" s="47">
        <f>IF('Resumo por Dia'!$A38="","",'Resumo por Dia'!$F38)</f>
        <v/>
      </c>
      <c r="E38" s="45">
        <f>IF('Resumo por Dia'!$A38="","",'Resumo por Dia'!$G38)</f>
        <v/>
      </c>
      <c r="F38" s="47">
        <f>IF('Resumo por Dia'!$A38="","",'Resumo por Dia'!$H38)</f>
        <v/>
      </c>
      <c r="G38" s="45">
        <f>IF('Resumo por Dia'!$A38="","",'Resumo por Dia'!$N38)</f>
        <v/>
      </c>
      <c r="H38" s="45">
        <f>IF('Resumo por Dia'!$A38="","",'Resumo por Dia'!$B38)</f>
        <v/>
      </c>
    </row>
    <row r="39">
      <c r="A39" s="44">
        <f>IF('Resumo por Dia'!$A39="","",'Resumo por Dia'!$A39)</f>
        <v/>
      </c>
      <c r="B39" s="45">
        <f>IF('Resumo por Dia'!$A39="","",'Resumo por Dia'!$D39)</f>
        <v/>
      </c>
      <c r="C39" s="46">
        <f>IF('Resumo por Dia'!$A39="","",'Resumo por Dia'!$E39)</f>
        <v/>
      </c>
      <c r="D39" s="47">
        <f>IF('Resumo por Dia'!$A39="","",'Resumo por Dia'!$F39)</f>
        <v/>
      </c>
      <c r="E39" s="45">
        <f>IF('Resumo por Dia'!$A39="","",'Resumo por Dia'!$G39)</f>
        <v/>
      </c>
      <c r="F39" s="47">
        <f>IF('Resumo por Dia'!$A39="","",'Resumo por Dia'!$H39)</f>
        <v/>
      </c>
      <c r="G39" s="45">
        <f>IF('Resumo por Dia'!$A39="","",'Resumo por Dia'!$N39)</f>
        <v/>
      </c>
      <c r="H39" s="45">
        <f>IF('Resumo por Dia'!$A39="","",'Resumo por Dia'!$B39)</f>
        <v/>
      </c>
    </row>
    <row r="40">
      <c r="A40" s="44">
        <f>IF('Resumo por Dia'!$A40="","",'Resumo por Dia'!$A40)</f>
        <v/>
      </c>
      <c r="B40" s="45">
        <f>IF('Resumo por Dia'!$A40="","",'Resumo por Dia'!$D40)</f>
        <v/>
      </c>
      <c r="C40" s="46">
        <f>IF('Resumo por Dia'!$A40="","",'Resumo por Dia'!$E40)</f>
        <v/>
      </c>
      <c r="D40" s="47">
        <f>IF('Resumo por Dia'!$A40="","",'Resumo por Dia'!$F40)</f>
        <v/>
      </c>
      <c r="E40" s="45">
        <f>IF('Resumo por Dia'!$A40="","",'Resumo por Dia'!$G40)</f>
        <v/>
      </c>
      <c r="F40" s="47">
        <f>IF('Resumo por Dia'!$A40="","",'Resumo por Dia'!$H40)</f>
        <v/>
      </c>
      <c r="G40" s="45">
        <f>IF('Resumo por Dia'!$A40="","",'Resumo por Dia'!$N40)</f>
        <v/>
      </c>
      <c r="H40" s="45">
        <f>IF('Resumo por Dia'!$A40="","",'Resumo por Dia'!$B40)</f>
        <v/>
      </c>
    </row>
    <row r="41">
      <c r="A41" s="44">
        <f>IF('Resumo por Dia'!$A41="","",'Resumo por Dia'!$A41)</f>
        <v/>
      </c>
      <c r="B41" s="45">
        <f>IF('Resumo por Dia'!$A41="","",'Resumo por Dia'!$D41)</f>
        <v/>
      </c>
      <c r="C41" s="46">
        <f>IF('Resumo por Dia'!$A41="","",'Resumo por Dia'!$E41)</f>
        <v/>
      </c>
      <c r="D41" s="47">
        <f>IF('Resumo por Dia'!$A41="","",'Resumo por Dia'!$F41)</f>
        <v/>
      </c>
      <c r="E41" s="45">
        <f>IF('Resumo por Dia'!$A41="","",'Resumo por Dia'!$G41)</f>
        <v/>
      </c>
      <c r="F41" s="47">
        <f>IF('Resumo por Dia'!$A41="","",'Resumo por Dia'!$H41)</f>
        <v/>
      </c>
      <c r="G41" s="45">
        <f>IF('Resumo por Dia'!$A41="","",'Resumo por Dia'!$N41)</f>
        <v/>
      </c>
      <c r="H41" s="45">
        <f>IF('Resumo por Dia'!$A41="","",'Resumo por Dia'!$B41)</f>
        <v/>
      </c>
    </row>
    <row r="42">
      <c r="A42" s="44">
        <f>IF('Resumo por Dia'!$A42="","",'Resumo por Dia'!$A42)</f>
        <v/>
      </c>
      <c r="B42" s="45">
        <f>IF('Resumo por Dia'!$A42="","",'Resumo por Dia'!$D42)</f>
        <v/>
      </c>
      <c r="C42" s="46">
        <f>IF('Resumo por Dia'!$A42="","",'Resumo por Dia'!$E42)</f>
        <v/>
      </c>
      <c r="D42" s="47">
        <f>IF('Resumo por Dia'!$A42="","",'Resumo por Dia'!$F42)</f>
        <v/>
      </c>
      <c r="E42" s="45">
        <f>IF('Resumo por Dia'!$A42="","",'Resumo por Dia'!$G42)</f>
        <v/>
      </c>
      <c r="F42" s="47">
        <f>IF('Resumo por Dia'!$A42="","",'Resumo por Dia'!$H42)</f>
        <v/>
      </c>
      <c r="G42" s="45">
        <f>IF('Resumo por Dia'!$A42="","",'Resumo por Dia'!$N42)</f>
        <v/>
      </c>
      <c r="H42" s="45">
        <f>IF('Resumo por Dia'!$A42="","",'Resumo por Dia'!$B42)</f>
        <v/>
      </c>
    </row>
    <row r="43">
      <c r="A43" s="44">
        <f>IF('Resumo por Dia'!$A43="","",'Resumo por Dia'!$A43)</f>
        <v/>
      </c>
      <c r="B43" s="45">
        <f>IF('Resumo por Dia'!$A43="","",'Resumo por Dia'!$D43)</f>
        <v/>
      </c>
      <c r="C43" s="46">
        <f>IF('Resumo por Dia'!$A43="","",'Resumo por Dia'!$E43)</f>
        <v/>
      </c>
      <c r="D43" s="47">
        <f>IF('Resumo por Dia'!$A43="","",'Resumo por Dia'!$F43)</f>
        <v/>
      </c>
      <c r="E43" s="45">
        <f>IF('Resumo por Dia'!$A43="","",'Resumo por Dia'!$G43)</f>
        <v/>
      </c>
      <c r="F43" s="47">
        <f>IF('Resumo por Dia'!$A43="","",'Resumo por Dia'!$H43)</f>
        <v/>
      </c>
      <c r="G43" s="45">
        <f>IF('Resumo por Dia'!$A43="","",'Resumo por Dia'!$N43)</f>
        <v/>
      </c>
      <c r="H43" s="45">
        <f>IF('Resumo por Dia'!$A43="","",'Resumo por Dia'!$B43)</f>
        <v/>
      </c>
    </row>
    <row r="44">
      <c r="A44" s="44">
        <f>IF('Resumo por Dia'!$A44="","",'Resumo por Dia'!$A44)</f>
        <v/>
      </c>
      <c r="B44" s="45">
        <f>IF('Resumo por Dia'!$A44="","",'Resumo por Dia'!$D44)</f>
        <v/>
      </c>
      <c r="C44" s="46">
        <f>IF('Resumo por Dia'!$A44="","",'Resumo por Dia'!$E44)</f>
        <v/>
      </c>
      <c r="D44" s="47">
        <f>IF('Resumo por Dia'!$A44="","",'Resumo por Dia'!$F44)</f>
        <v/>
      </c>
      <c r="E44" s="45">
        <f>IF('Resumo por Dia'!$A44="","",'Resumo por Dia'!$G44)</f>
        <v/>
      </c>
      <c r="F44" s="47">
        <f>IF('Resumo por Dia'!$A44="","",'Resumo por Dia'!$H44)</f>
        <v/>
      </c>
      <c r="G44" s="45">
        <f>IF('Resumo por Dia'!$A44="","",'Resumo por Dia'!$N44)</f>
        <v/>
      </c>
      <c r="H44" s="45">
        <f>IF('Resumo por Dia'!$A44="","",'Resumo por Dia'!$B44)</f>
        <v/>
      </c>
    </row>
    <row r="45">
      <c r="A45" s="44">
        <f>IF('Resumo por Dia'!$A45="","",'Resumo por Dia'!$A45)</f>
        <v/>
      </c>
      <c r="B45" s="45">
        <f>IF('Resumo por Dia'!$A45="","",'Resumo por Dia'!$D45)</f>
        <v/>
      </c>
      <c r="C45" s="46">
        <f>IF('Resumo por Dia'!$A45="","",'Resumo por Dia'!$E45)</f>
        <v/>
      </c>
      <c r="D45" s="47">
        <f>IF('Resumo por Dia'!$A45="","",'Resumo por Dia'!$F45)</f>
        <v/>
      </c>
      <c r="E45" s="45">
        <f>IF('Resumo por Dia'!$A45="","",'Resumo por Dia'!$G45)</f>
        <v/>
      </c>
      <c r="F45" s="47">
        <f>IF('Resumo por Dia'!$A45="","",'Resumo por Dia'!$H45)</f>
        <v/>
      </c>
      <c r="G45" s="45">
        <f>IF('Resumo por Dia'!$A45="","",'Resumo por Dia'!$N45)</f>
        <v/>
      </c>
      <c r="H45" s="45">
        <f>IF('Resumo por Dia'!$A45="","",'Resumo por Dia'!$B45)</f>
        <v/>
      </c>
    </row>
    <row r="46">
      <c r="A46" s="44">
        <f>IF('Resumo por Dia'!$A46="","",'Resumo por Dia'!$A46)</f>
        <v/>
      </c>
      <c r="B46" s="45">
        <f>IF('Resumo por Dia'!$A46="","",'Resumo por Dia'!$D46)</f>
        <v/>
      </c>
      <c r="C46" s="46">
        <f>IF('Resumo por Dia'!$A46="","",'Resumo por Dia'!$E46)</f>
        <v/>
      </c>
      <c r="D46" s="47">
        <f>IF('Resumo por Dia'!$A46="","",'Resumo por Dia'!$F46)</f>
        <v/>
      </c>
      <c r="E46" s="45">
        <f>IF('Resumo por Dia'!$A46="","",'Resumo por Dia'!$G46)</f>
        <v/>
      </c>
      <c r="F46" s="47">
        <f>IF('Resumo por Dia'!$A46="","",'Resumo por Dia'!$H46)</f>
        <v/>
      </c>
      <c r="G46" s="45">
        <f>IF('Resumo por Dia'!$A46="","",'Resumo por Dia'!$N46)</f>
        <v/>
      </c>
      <c r="H46" s="45">
        <f>IF('Resumo por Dia'!$A46="","",'Resumo por Dia'!$B46)</f>
        <v/>
      </c>
    </row>
    <row r="47">
      <c r="A47" s="44">
        <f>IF('Resumo por Dia'!$A47="","",'Resumo por Dia'!$A47)</f>
        <v/>
      </c>
      <c r="B47" s="45">
        <f>IF('Resumo por Dia'!$A47="","",'Resumo por Dia'!$D47)</f>
        <v/>
      </c>
      <c r="C47" s="46">
        <f>IF('Resumo por Dia'!$A47="","",'Resumo por Dia'!$E47)</f>
        <v/>
      </c>
      <c r="D47" s="47">
        <f>IF('Resumo por Dia'!$A47="","",'Resumo por Dia'!$F47)</f>
        <v/>
      </c>
      <c r="E47" s="45">
        <f>IF('Resumo por Dia'!$A47="","",'Resumo por Dia'!$G47)</f>
        <v/>
      </c>
      <c r="F47" s="47">
        <f>IF('Resumo por Dia'!$A47="","",'Resumo por Dia'!$H47)</f>
        <v/>
      </c>
      <c r="G47" s="45">
        <f>IF('Resumo por Dia'!$A47="","",'Resumo por Dia'!$N47)</f>
        <v/>
      </c>
      <c r="H47" s="45">
        <f>IF('Resumo por Dia'!$A47="","",'Resumo por Dia'!$B47)</f>
        <v/>
      </c>
    </row>
    <row r="48">
      <c r="A48" s="44">
        <f>IF('Resumo por Dia'!$A48="","",'Resumo por Dia'!$A48)</f>
        <v/>
      </c>
      <c r="B48" s="45">
        <f>IF('Resumo por Dia'!$A48="","",'Resumo por Dia'!$D48)</f>
        <v/>
      </c>
      <c r="C48" s="46">
        <f>IF('Resumo por Dia'!$A48="","",'Resumo por Dia'!$E48)</f>
        <v/>
      </c>
      <c r="D48" s="47">
        <f>IF('Resumo por Dia'!$A48="","",'Resumo por Dia'!$F48)</f>
        <v/>
      </c>
      <c r="E48" s="45">
        <f>IF('Resumo por Dia'!$A48="","",'Resumo por Dia'!$G48)</f>
        <v/>
      </c>
      <c r="F48" s="47">
        <f>IF('Resumo por Dia'!$A48="","",'Resumo por Dia'!$H48)</f>
        <v/>
      </c>
      <c r="G48" s="45">
        <f>IF('Resumo por Dia'!$A48="","",'Resumo por Dia'!$N48)</f>
        <v/>
      </c>
      <c r="H48" s="45">
        <f>IF('Resumo por Dia'!$A48="","",'Resumo por Dia'!$B48)</f>
        <v/>
      </c>
    </row>
    <row r="49">
      <c r="A49" s="44">
        <f>IF('Resumo por Dia'!$A49="","",'Resumo por Dia'!$A49)</f>
        <v/>
      </c>
      <c r="B49" s="45">
        <f>IF('Resumo por Dia'!$A49="","",'Resumo por Dia'!$D49)</f>
        <v/>
      </c>
      <c r="C49" s="46">
        <f>IF('Resumo por Dia'!$A49="","",'Resumo por Dia'!$E49)</f>
        <v/>
      </c>
      <c r="D49" s="47">
        <f>IF('Resumo por Dia'!$A49="","",'Resumo por Dia'!$F49)</f>
        <v/>
      </c>
      <c r="E49" s="45">
        <f>IF('Resumo por Dia'!$A49="","",'Resumo por Dia'!$G49)</f>
        <v/>
      </c>
      <c r="F49" s="47">
        <f>IF('Resumo por Dia'!$A49="","",'Resumo por Dia'!$H49)</f>
        <v/>
      </c>
      <c r="G49" s="45">
        <f>IF('Resumo por Dia'!$A49="","",'Resumo por Dia'!$N49)</f>
        <v/>
      </c>
      <c r="H49" s="45">
        <f>IF('Resumo por Dia'!$A49="","",'Resumo por Dia'!$B49)</f>
        <v/>
      </c>
    </row>
    <row r="50">
      <c r="A50" s="44">
        <f>IF('Resumo por Dia'!$A50="","",'Resumo por Dia'!$A50)</f>
        <v/>
      </c>
      <c r="B50" s="45">
        <f>IF('Resumo por Dia'!$A50="","",'Resumo por Dia'!$D50)</f>
        <v/>
      </c>
      <c r="C50" s="46">
        <f>IF('Resumo por Dia'!$A50="","",'Resumo por Dia'!$E50)</f>
        <v/>
      </c>
      <c r="D50" s="47">
        <f>IF('Resumo por Dia'!$A50="","",'Resumo por Dia'!$F50)</f>
        <v/>
      </c>
      <c r="E50" s="45">
        <f>IF('Resumo por Dia'!$A50="","",'Resumo por Dia'!$G50)</f>
        <v/>
      </c>
      <c r="F50" s="47">
        <f>IF('Resumo por Dia'!$A50="","",'Resumo por Dia'!$H50)</f>
        <v/>
      </c>
      <c r="G50" s="45">
        <f>IF('Resumo por Dia'!$A50="","",'Resumo por Dia'!$N50)</f>
        <v/>
      </c>
      <c r="H50" s="45">
        <f>IF('Resumo por Dia'!$A50="","",'Resumo por Dia'!$B50)</f>
        <v/>
      </c>
    </row>
    <row r="51">
      <c r="A51" s="44">
        <f>IF('Resumo por Dia'!$A51="","",'Resumo por Dia'!$A51)</f>
        <v/>
      </c>
      <c r="B51" s="45">
        <f>IF('Resumo por Dia'!$A51="","",'Resumo por Dia'!$D51)</f>
        <v/>
      </c>
      <c r="C51" s="46">
        <f>IF('Resumo por Dia'!$A51="","",'Resumo por Dia'!$E51)</f>
        <v/>
      </c>
      <c r="D51" s="47">
        <f>IF('Resumo por Dia'!$A51="","",'Resumo por Dia'!$F51)</f>
        <v/>
      </c>
      <c r="E51" s="45">
        <f>IF('Resumo por Dia'!$A51="","",'Resumo por Dia'!$G51)</f>
        <v/>
      </c>
      <c r="F51" s="47">
        <f>IF('Resumo por Dia'!$A51="","",'Resumo por Dia'!$H51)</f>
        <v/>
      </c>
      <c r="G51" s="45">
        <f>IF('Resumo por Dia'!$A51="","",'Resumo por Dia'!$N51)</f>
        <v/>
      </c>
      <c r="H51" s="45">
        <f>IF('Resumo por Dia'!$A51="","",'Resumo por Dia'!$B51)</f>
        <v/>
      </c>
    </row>
    <row r="52">
      <c r="A52" s="44">
        <f>IF('Resumo por Dia'!$A52="","",'Resumo por Dia'!$A52)</f>
        <v/>
      </c>
      <c r="B52" s="45">
        <f>IF('Resumo por Dia'!$A52="","",'Resumo por Dia'!$D52)</f>
        <v/>
      </c>
      <c r="C52" s="46">
        <f>IF('Resumo por Dia'!$A52="","",'Resumo por Dia'!$E52)</f>
        <v/>
      </c>
      <c r="D52" s="47">
        <f>IF('Resumo por Dia'!$A52="","",'Resumo por Dia'!$F52)</f>
        <v/>
      </c>
      <c r="E52" s="45">
        <f>IF('Resumo por Dia'!$A52="","",'Resumo por Dia'!$G52)</f>
        <v/>
      </c>
      <c r="F52" s="47">
        <f>IF('Resumo por Dia'!$A52="","",'Resumo por Dia'!$H52)</f>
        <v/>
      </c>
      <c r="G52" s="45">
        <f>IF('Resumo por Dia'!$A52="","",'Resumo por Dia'!$N52)</f>
        <v/>
      </c>
      <c r="H52" s="45">
        <f>IF('Resumo por Dia'!$A52="","",'Resumo por Dia'!$B52)</f>
        <v/>
      </c>
    </row>
    <row r="53">
      <c r="A53" s="44">
        <f>IF('Resumo por Dia'!$A53="","",'Resumo por Dia'!$A53)</f>
        <v/>
      </c>
      <c r="B53" s="45">
        <f>IF('Resumo por Dia'!$A53="","",'Resumo por Dia'!$D53)</f>
        <v/>
      </c>
      <c r="C53" s="46">
        <f>IF('Resumo por Dia'!$A53="","",'Resumo por Dia'!$E53)</f>
        <v/>
      </c>
      <c r="D53" s="47">
        <f>IF('Resumo por Dia'!$A53="","",'Resumo por Dia'!$F53)</f>
        <v/>
      </c>
      <c r="E53" s="45">
        <f>IF('Resumo por Dia'!$A53="","",'Resumo por Dia'!$G53)</f>
        <v/>
      </c>
      <c r="F53" s="47">
        <f>IF('Resumo por Dia'!$A53="","",'Resumo por Dia'!$H53)</f>
        <v/>
      </c>
      <c r="G53" s="45">
        <f>IF('Resumo por Dia'!$A53="","",'Resumo por Dia'!$N53)</f>
        <v/>
      </c>
      <c r="H53" s="45">
        <f>IF('Resumo por Dia'!$A53="","",'Resumo por Dia'!$B53)</f>
        <v/>
      </c>
    </row>
    <row r="54">
      <c r="A54" s="44">
        <f>IF('Resumo por Dia'!$A54="","",'Resumo por Dia'!$A54)</f>
        <v/>
      </c>
      <c r="B54" s="45">
        <f>IF('Resumo por Dia'!$A54="","",'Resumo por Dia'!$D54)</f>
        <v/>
      </c>
      <c r="C54" s="46">
        <f>IF('Resumo por Dia'!$A54="","",'Resumo por Dia'!$E54)</f>
        <v/>
      </c>
      <c r="D54" s="47">
        <f>IF('Resumo por Dia'!$A54="","",'Resumo por Dia'!$F54)</f>
        <v/>
      </c>
      <c r="E54" s="45">
        <f>IF('Resumo por Dia'!$A54="","",'Resumo por Dia'!$G54)</f>
        <v/>
      </c>
      <c r="F54" s="47">
        <f>IF('Resumo por Dia'!$A54="","",'Resumo por Dia'!$H54)</f>
        <v/>
      </c>
      <c r="G54" s="45">
        <f>IF('Resumo por Dia'!$A54="","",'Resumo por Dia'!$N54)</f>
        <v/>
      </c>
      <c r="H54" s="45">
        <f>IF('Resumo por Dia'!$A54="","",'Resumo por Dia'!$B54)</f>
        <v/>
      </c>
    </row>
    <row r="55">
      <c r="A55" s="44">
        <f>IF('Resumo por Dia'!$A55="","",'Resumo por Dia'!$A55)</f>
        <v/>
      </c>
      <c r="B55" s="45">
        <f>IF('Resumo por Dia'!$A55="","",'Resumo por Dia'!$D55)</f>
        <v/>
      </c>
      <c r="C55" s="46">
        <f>IF('Resumo por Dia'!$A55="","",'Resumo por Dia'!$E55)</f>
        <v/>
      </c>
      <c r="D55" s="47">
        <f>IF('Resumo por Dia'!$A55="","",'Resumo por Dia'!$F55)</f>
        <v/>
      </c>
      <c r="E55" s="45">
        <f>IF('Resumo por Dia'!$A55="","",'Resumo por Dia'!$G55)</f>
        <v/>
      </c>
      <c r="F55" s="47">
        <f>IF('Resumo por Dia'!$A55="","",'Resumo por Dia'!$H55)</f>
        <v/>
      </c>
      <c r="G55" s="45">
        <f>IF('Resumo por Dia'!$A55="","",'Resumo por Dia'!$N55)</f>
        <v/>
      </c>
      <c r="H55" s="45">
        <f>IF('Resumo por Dia'!$A55="","",'Resumo por Dia'!$B55)</f>
        <v/>
      </c>
    </row>
    <row r="56">
      <c r="A56" s="44">
        <f>IF('Resumo por Dia'!$A56="","",'Resumo por Dia'!$A56)</f>
        <v/>
      </c>
      <c r="B56" s="45">
        <f>IF('Resumo por Dia'!$A56="","",'Resumo por Dia'!$D56)</f>
        <v/>
      </c>
      <c r="C56" s="46">
        <f>IF('Resumo por Dia'!$A56="","",'Resumo por Dia'!$E56)</f>
        <v/>
      </c>
      <c r="D56" s="47">
        <f>IF('Resumo por Dia'!$A56="","",'Resumo por Dia'!$F56)</f>
        <v/>
      </c>
      <c r="E56" s="45">
        <f>IF('Resumo por Dia'!$A56="","",'Resumo por Dia'!$G56)</f>
        <v/>
      </c>
      <c r="F56" s="47">
        <f>IF('Resumo por Dia'!$A56="","",'Resumo por Dia'!$H56)</f>
        <v/>
      </c>
      <c r="G56" s="45">
        <f>IF('Resumo por Dia'!$A56="","",'Resumo por Dia'!$N56)</f>
        <v/>
      </c>
      <c r="H56" s="45">
        <f>IF('Resumo por Dia'!$A56="","",'Resumo por Dia'!$B56)</f>
        <v/>
      </c>
    </row>
    <row r="57">
      <c r="A57" s="44">
        <f>IF('Resumo por Dia'!$A57="","",'Resumo por Dia'!$A57)</f>
        <v/>
      </c>
      <c r="B57" s="45">
        <f>IF('Resumo por Dia'!$A57="","",'Resumo por Dia'!$D57)</f>
        <v/>
      </c>
      <c r="C57" s="46">
        <f>IF('Resumo por Dia'!$A57="","",'Resumo por Dia'!$E57)</f>
        <v/>
      </c>
      <c r="D57" s="47">
        <f>IF('Resumo por Dia'!$A57="","",'Resumo por Dia'!$F57)</f>
        <v/>
      </c>
      <c r="E57" s="45">
        <f>IF('Resumo por Dia'!$A57="","",'Resumo por Dia'!$G57)</f>
        <v/>
      </c>
      <c r="F57" s="47">
        <f>IF('Resumo por Dia'!$A57="","",'Resumo por Dia'!$H57)</f>
        <v/>
      </c>
      <c r="G57" s="45">
        <f>IF('Resumo por Dia'!$A57="","",'Resumo por Dia'!$N57)</f>
        <v/>
      </c>
      <c r="H57" s="45">
        <f>IF('Resumo por Dia'!$A57="","",'Resumo por Dia'!$B57)</f>
        <v/>
      </c>
    </row>
    <row r="58">
      <c r="A58" s="44">
        <f>IF('Resumo por Dia'!$A58="","",'Resumo por Dia'!$A58)</f>
        <v/>
      </c>
      <c r="B58" s="45">
        <f>IF('Resumo por Dia'!$A58="","",'Resumo por Dia'!$D58)</f>
        <v/>
      </c>
      <c r="C58" s="46">
        <f>IF('Resumo por Dia'!$A58="","",'Resumo por Dia'!$E58)</f>
        <v/>
      </c>
      <c r="D58" s="47">
        <f>IF('Resumo por Dia'!$A58="","",'Resumo por Dia'!$F58)</f>
        <v/>
      </c>
      <c r="E58" s="45">
        <f>IF('Resumo por Dia'!$A58="","",'Resumo por Dia'!$G58)</f>
        <v/>
      </c>
      <c r="F58" s="47">
        <f>IF('Resumo por Dia'!$A58="","",'Resumo por Dia'!$H58)</f>
        <v/>
      </c>
      <c r="G58" s="45">
        <f>IF('Resumo por Dia'!$A58="","",'Resumo por Dia'!$N58)</f>
        <v/>
      </c>
      <c r="H58" s="45">
        <f>IF('Resumo por Dia'!$A58="","",'Resumo por Dia'!$B58)</f>
        <v/>
      </c>
    </row>
    <row r="59">
      <c r="A59" s="44">
        <f>IF('Resumo por Dia'!$A59="","",'Resumo por Dia'!$A59)</f>
        <v/>
      </c>
      <c r="B59" s="45">
        <f>IF('Resumo por Dia'!$A59="","",'Resumo por Dia'!$D59)</f>
        <v/>
      </c>
      <c r="C59" s="46">
        <f>IF('Resumo por Dia'!$A59="","",'Resumo por Dia'!$E59)</f>
        <v/>
      </c>
      <c r="D59" s="47">
        <f>IF('Resumo por Dia'!$A59="","",'Resumo por Dia'!$F59)</f>
        <v/>
      </c>
      <c r="E59" s="45">
        <f>IF('Resumo por Dia'!$A59="","",'Resumo por Dia'!$G59)</f>
        <v/>
      </c>
      <c r="F59" s="47">
        <f>IF('Resumo por Dia'!$A59="","",'Resumo por Dia'!$H59)</f>
        <v/>
      </c>
      <c r="G59" s="45">
        <f>IF('Resumo por Dia'!$A59="","",'Resumo por Dia'!$N59)</f>
        <v/>
      </c>
      <c r="H59" s="45">
        <f>IF('Resumo por Dia'!$A59="","",'Resumo por Dia'!$B59)</f>
        <v/>
      </c>
    </row>
    <row r="60">
      <c r="A60" s="44">
        <f>IF('Resumo por Dia'!$A60="","",'Resumo por Dia'!$A60)</f>
        <v/>
      </c>
      <c r="B60" s="45">
        <f>IF('Resumo por Dia'!$A60="","",'Resumo por Dia'!$D60)</f>
        <v/>
      </c>
      <c r="C60" s="46">
        <f>IF('Resumo por Dia'!$A60="","",'Resumo por Dia'!$E60)</f>
        <v/>
      </c>
      <c r="D60" s="47">
        <f>IF('Resumo por Dia'!$A60="","",'Resumo por Dia'!$F60)</f>
        <v/>
      </c>
      <c r="E60" s="45">
        <f>IF('Resumo por Dia'!$A60="","",'Resumo por Dia'!$G60)</f>
        <v/>
      </c>
      <c r="F60" s="47">
        <f>IF('Resumo por Dia'!$A60="","",'Resumo por Dia'!$H60)</f>
        <v/>
      </c>
      <c r="G60" s="45">
        <f>IF('Resumo por Dia'!$A60="","",'Resumo por Dia'!$N60)</f>
        <v/>
      </c>
      <c r="H60" s="45">
        <f>IF('Resumo por Dia'!$A60="","",'Resumo por Dia'!$B60)</f>
        <v/>
      </c>
    </row>
    <row r="61">
      <c r="A61" s="44">
        <f>IF('Resumo por Dia'!$A61="","",'Resumo por Dia'!$A61)</f>
        <v/>
      </c>
      <c r="B61" s="45">
        <f>IF('Resumo por Dia'!$A61="","",'Resumo por Dia'!$D61)</f>
        <v/>
      </c>
      <c r="C61" s="46">
        <f>IF('Resumo por Dia'!$A61="","",'Resumo por Dia'!$E61)</f>
        <v/>
      </c>
      <c r="D61" s="47">
        <f>IF('Resumo por Dia'!$A61="","",'Resumo por Dia'!$F61)</f>
        <v/>
      </c>
      <c r="E61" s="45">
        <f>IF('Resumo por Dia'!$A61="","",'Resumo por Dia'!$G61)</f>
        <v/>
      </c>
      <c r="F61" s="47">
        <f>IF('Resumo por Dia'!$A61="","",'Resumo por Dia'!$H61)</f>
        <v/>
      </c>
      <c r="G61" s="45">
        <f>IF('Resumo por Dia'!$A61="","",'Resumo por Dia'!$N61)</f>
        <v/>
      </c>
      <c r="H61" s="45">
        <f>IF('Resumo por Dia'!$A61="","",'Resumo por Dia'!$B61)</f>
        <v/>
      </c>
    </row>
    <row r="62">
      <c r="A62" s="44">
        <f>IF('Resumo por Dia'!$A62="","",'Resumo por Dia'!$A62)</f>
        <v/>
      </c>
      <c r="B62" s="45">
        <f>IF('Resumo por Dia'!$A62="","",'Resumo por Dia'!$D62)</f>
        <v/>
      </c>
      <c r="C62" s="46">
        <f>IF('Resumo por Dia'!$A62="","",'Resumo por Dia'!$E62)</f>
        <v/>
      </c>
      <c r="D62" s="47">
        <f>IF('Resumo por Dia'!$A62="","",'Resumo por Dia'!$F62)</f>
        <v/>
      </c>
      <c r="E62" s="45">
        <f>IF('Resumo por Dia'!$A62="","",'Resumo por Dia'!$G62)</f>
        <v/>
      </c>
      <c r="F62" s="47">
        <f>IF('Resumo por Dia'!$A62="","",'Resumo por Dia'!$H62)</f>
        <v/>
      </c>
      <c r="G62" s="45">
        <f>IF('Resumo por Dia'!$A62="","",'Resumo por Dia'!$N62)</f>
        <v/>
      </c>
      <c r="H62" s="45">
        <f>IF('Resumo por Dia'!$A62="","",'Resumo por Dia'!$B62)</f>
        <v/>
      </c>
    </row>
    <row r="63">
      <c r="A63" s="44">
        <f>IF('Resumo por Dia'!$A63="","",'Resumo por Dia'!$A63)</f>
        <v/>
      </c>
      <c r="B63" s="45">
        <f>IF('Resumo por Dia'!$A63="","",'Resumo por Dia'!$D63)</f>
        <v/>
      </c>
      <c r="C63" s="46">
        <f>IF('Resumo por Dia'!$A63="","",'Resumo por Dia'!$E63)</f>
        <v/>
      </c>
      <c r="D63" s="47">
        <f>IF('Resumo por Dia'!$A63="","",'Resumo por Dia'!$F63)</f>
        <v/>
      </c>
      <c r="E63" s="45">
        <f>IF('Resumo por Dia'!$A63="","",'Resumo por Dia'!$G63)</f>
        <v/>
      </c>
      <c r="F63" s="47">
        <f>IF('Resumo por Dia'!$A63="","",'Resumo por Dia'!$H63)</f>
        <v/>
      </c>
      <c r="G63" s="45">
        <f>IF('Resumo por Dia'!$A63="","",'Resumo por Dia'!$N63)</f>
        <v/>
      </c>
      <c r="H63" s="45">
        <f>IF('Resumo por Dia'!$A63="","",'Resumo por Dia'!$B63)</f>
        <v/>
      </c>
    </row>
    <row r="64">
      <c r="A64" s="44">
        <f>IF('Resumo por Dia'!$A64="","",'Resumo por Dia'!$A64)</f>
        <v/>
      </c>
      <c r="B64" s="45">
        <f>IF('Resumo por Dia'!$A64="","",'Resumo por Dia'!$D64)</f>
        <v/>
      </c>
      <c r="C64" s="46">
        <f>IF('Resumo por Dia'!$A64="","",'Resumo por Dia'!$E64)</f>
        <v/>
      </c>
      <c r="D64" s="47">
        <f>IF('Resumo por Dia'!$A64="","",'Resumo por Dia'!$F64)</f>
        <v/>
      </c>
      <c r="E64" s="45">
        <f>IF('Resumo por Dia'!$A64="","",'Resumo por Dia'!$G64)</f>
        <v/>
      </c>
      <c r="F64" s="47">
        <f>IF('Resumo por Dia'!$A64="","",'Resumo por Dia'!$H64)</f>
        <v/>
      </c>
      <c r="G64" s="45">
        <f>IF('Resumo por Dia'!$A64="","",'Resumo por Dia'!$N64)</f>
        <v/>
      </c>
      <c r="H64" s="45">
        <f>IF('Resumo por Dia'!$A64="","",'Resumo por Dia'!$B64)</f>
        <v/>
      </c>
    </row>
    <row r="65">
      <c r="A65" s="44">
        <f>IF('Resumo por Dia'!$A65="","",'Resumo por Dia'!$A65)</f>
        <v/>
      </c>
      <c r="B65" s="45">
        <f>IF('Resumo por Dia'!$A65="","",'Resumo por Dia'!$D65)</f>
        <v/>
      </c>
      <c r="C65" s="46">
        <f>IF('Resumo por Dia'!$A65="","",'Resumo por Dia'!$E65)</f>
        <v/>
      </c>
      <c r="D65" s="47">
        <f>IF('Resumo por Dia'!$A65="","",'Resumo por Dia'!$F65)</f>
        <v/>
      </c>
      <c r="E65" s="45">
        <f>IF('Resumo por Dia'!$A65="","",'Resumo por Dia'!$G65)</f>
        <v/>
      </c>
      <c r="F65" s="47">
        <f>IF('Resumo por Dia'!$A65="","",'Resumo por Dia'!$H65)</f>
        <v/>
      </c>
      <c r="G65" s="45">
        <f>IF('Resumo por Dia'!$A65="","",'Resumo por Dia'!$N65)</f>
        <v/>
      </c>
      <c r="H65" s="45">
        <f>IF('Resumo por Dia'!$A65="","",'Resumo por Dia'!$B65)</f>
        <v/>
      </c>
    </row>
    <row r="66">
      <c r="A66" s="44">
        <f>IF('Resumo por Dia'!$A66="","",'Resumo por Dia'!$A66)</f>
        <v/>
      </c>
      <c r="B66" s="45">
        <f>IF('Resumo por Dia'!$A66="","",'Resumo por Dia'!$D66)</f>
        <v/>
      </c>
      <c r="C66" s="46">
        <f>IF('Resumo por Dia'!$A66="","",'Resumo por Dia'!$E66)</f>
        <v/>
      </c>
      <c r="D66" s="47">
        <f>IF('Resumo por Dia'!$A66="","",'Resumo por Dia'!$F66)</f>
        <v/>
      </c>
      <c r="E66" s="45">
        <f>IF('Resumo por Dia'!$A66="","",'Resumo por Dia'!$G66)</f>
        <v/>
      </c>
      <c r="F66" s="47">
        <f>IF('Resumo por Dia'!$A66="","",'Resumo por Dia'!$H66)</f>
        <v/>
      </c>
      <c r="G66" s="45">
        <f>IF('Resumo por Dia'!$A66="","",'Resumo por Dia'!$N66)</f>
        <v/>
      </c>
      <c r="H66" s="45">
        <f>IF('Resumo por Dia'!$A66="","",'Resumo por Dia'!$B66)</f>
        <v/>
      </c>
    </row>
    <row r="67">
      <c r="A67" s="44">
        <f>IF('Resumo por Dia'!$A67="","",'Resumo por Dia'!$A67)</f>
        <v/>
      </c>
      <c r="B67" s="45">
        <f>IF('Resumo por Dia'!$A67="","",'Resumo por Dia'!$D67)</f>
        <v/>
      </c>
      <c r="C67" s="46">
        <f>IF('Resumo por Dia'!$A67="","",'Resumo por Dia'!$E67)</f>
        <v/>
      </c>
      <c r="D67" s="47">
        <f>IF('Resumo por Dia'!$A67="","",'Resumo por Dia'!$F67)</f>
        <v/>
      </c>
      <c r="E67" s="45">
        <f>IF('Resumo por Dia'!$A67="","",'Resumo por Dia'!$G67)</f>
        <v/>
      </c>
      <c r="F67" s="47">
        <f>IF('Resumo por Dia'!$A67="","",'Resumo por Dia'!$H67)</f>
        <v/>
      </c>
      <c r="G67" s="45">
        <f>IF('Resumo por Dia'!$A67="","",'Resumo por Dia'!$N67)</f>
        <v/>
      </c>
      <c r="H67" s="45">
        <f>IF('Resumo por Dia'!$A67="","",'Resumo por Dia'!$B67)</f>
        <v/>
      </c>
    </row>
    <row r="68">
      <c r="A68" s="44">
        <f>IF('Resumo por Dia'!$A68="","",'Resumo por Dia'!$A68)</f>
        <v/>
      </c>
      <c r="B68" s="45">
        <f>IF('Resumo por Dia'!$A68="","",'Resumo por Dia'!$D68)</f>
        <v/>
      </c>
      <c r="C68" s="46">
        <f>IF('Resumo por Dia'!$A68="","",'Resumo por Dia'!$E68)</f>
        <v/>
      </c>
      <c r="D68" s="47">
        <f>IF('Resumo por Dia'!$A68="","",'Resumo por Dia'!$F68)</f>
        <v/>
      </c>
      <c r="E68" s="45">
        <f>IF('Resumo por Dia'!$A68="","",'Resumo por Dia'!$G68)</f>
        <v/>
      </c>
      <c r="F68" s="47">
        <f>IF('Resumo por Dia'!$A68="","",'Resumo por Dia'!$H68)</f>
        <v/>
      </c>
      <c r="G68" s="45">
        <f>IF('Resumo por Dia'!$A68="","",'Resumo por Dia'!$N68)</f>
        <v/>
      </c>
      <c r="H68" s="45">
        <f>IF('Resumo por Dia'!$A68="","",'Resumo por Dia'!$B68)</f>
        <v/>
      </c>
    </row>
    <row r="69">
      <c r="A69" s="44">
        <f>IF('Resumo por Dia'!$A69="","",'Resumo por Dia'!$A69)</f>
        <v/>
      </c>
      <c r="B69" s="45">
        <f>IF('Resumo por Dia'!$A69="","",'Resumo por Dia'!$D69)</f>
        <v/>
      </c>
      <c r="C69" s="46">
        <f>IF('Resumo por Dia'!$A69="","",'Resumo por Dia'!$E69)</f>
        <v/>
      </c>
      <c r="D69" s="47">
        <f>IF('Resumo por Dia'!$A69="","",'Resumo por Dia'!$F69)</f>
        <v/>
      </c>
      <c r="E69" s="45">
        <f>IF('Resumo por Dia'!$A69="","",'Resumo por Dia'!$G69)</f>
        <v/>
      </c>
      <c r="F69" s="47">
        <f>IF('Resumo por Dia'!$A69="","",'Resumo por Dia'!$H69)</f>
        <v/>
      </c>
      <c r="G69" s="45">
        <f>IF('Resumo por Dia'!$A69="","",'Resumo por Dia'!$N69)</f>
        <v/>
      </c>
      <c r="H69" s="45">
        <f>IF('Resumo por Dia'!$A69="","",'Resumo por Dia'!$B69)</f>
        <v/>
      </c>
    </row>
    <row r="70">
      <c r="A70" s="44">
        <f>IF('Resumo por Dia'!$A70="","",'Resumo por Dia'!$A70)</f>
        <v/>
      </c>
      <c r="B70" s="45">
        <f>IF('Resumo por Dia'!$A70="","",'Resumo por Dia'!$D70)</f>
        <v/>
      </c>
      <c r="C70" s="46">
        <f>IF('Resumo por Dia'!$A70="","",'Resumo por Dia'!$E70)</f>
        <v/>
      </c>
      <c r="D70" s="47">
        <f>IF('Resumo por Dia'!$A70="","",'Resumo por Dia'!$F70)</f>
        <v/>
      </c>
      <c r="E70" s="45">
        <f>IF('Resumo por Dia'!$A70="","",'Resumo por Dia'!$G70)</f>
        <v/>
      </c>
      <c r="F70" s="47">
        <f>IF('Resumo por Dia'!$A70="","",'Resumo por Dia'!$H70)</f>
        <v/>
      </c>
      <c r="G70" s="45">
        <f>IF('Resumo por Dia'!$A70="","",'Resumo por Dia'!$N70)</f>
        <v/>
      </c>
      <c r="H70" s="45">
        <f>IF('Resumo por Dia'!$A70="","",'Resumo por Dia'!$B70)</f>
        <v/>
      </c>
    </row>
    <row r="71">
      <c r="A71" s="44">
        <f>IF('Resumo por Dia'!$A71="","",'Resumo por Dia'!$A71)</f>
        <v/>
      </c>
      <c r="B71" s="45">
        <f>IF('Resumo por Dia'!$A71="","",'Resumo por Dia'!$D71)</f>
        <v/>
      </c>
      <c r="C71" s="46">
        <f>IF('Resumo por Dia'!$A71="","",'Resumo por Dia'!$E71)</f>
        <v/>
      </c>
      <c r="D71" s="47">
        <f>IF('Resumo por Dia'!$A71="","",'Resumo por Dia'!$F71)</f>
        <v/>
      </c>
      <c r="E71" s="45">
        <f>IF('Resumo por Dia'!$A71="","",'Resumo por Dia'!$G71)</f>
        <v/>
      </c>
      <c r="F71" s="47">
        <f>IF('Resumo por Dia'!$A71="","",'Resumo por Dia'!$H71)</f>
        <v/>
      </c>
      <c r="G71" s="45">
        <f>IF('Resumo por Dia'!$A71="","",'Resumo por Dia'!$N71)</f>
        <v/>
      </c>
      <c r="H71" s="45">
        <f>IF('Resumo por Dia'!$A71="","",'Resumo por Dia'!$B71)</f>
        <v/>
      </c>
    </row>
    <row r="72">
      <c r="A72" s="44">
        <f>IF('Resumo por Dia'!$A72="","",'Resumo por Dia'!$A72)</f>
        <v/>
      </c>
      <c r="B72" s="45">
        <f>IF('Resumo por Dia'!$A72="","",'Resumo por Dia'!$D72)</f>
        <v/>
      </c>
      <c r="C72" s="46">
        <f>IF('Resumo por Dia'!$A72="","",'Resumo por Dia'!$E72)</f>
        <v/>
      </c>
      <c r="D72" s="47">
        <f>IF('Resumo por Dia'!$A72="","",'Resumo por Dia'!$F72)</f>
        <v/>
      </c>
      <c r="E72" s="45">
        <f>IF('Resumo por Dia'!$A72="","",'Resumo por Dia'!$G72)</f>
        <v/>
      </c>
      <c r="F72" s="47">
        <f>IF('Resumo por Dia'!$A72="","",'Resumo por Dia'!$H72)</f>
        <v/>
      </c>
      <c r="G72" s="45">
        <f>IF('Resumo por Dia'!$A72="","",'Resumo por Dia'!$N72)</f>
        <v/>
      </c>
      <c r="H72" s="45">
        <f>IF('Resumo por Dia'!$A72="","",'Resumo por Dia'!$B72)</f>
        <v/>
      </c>
    </row>
    <row r="73">
      <c r="A73" s="44">
        <f>IF('Resumo por Dia'!$A73="","",'Resumo por Dia'!$A73)</f>
        <v/>
      </c>
      <c r="B73" s="45">
        <f>IF('Resumo por Dia'!$A73="","",'Resumo por Dia'!$D73)</f>
        <v/>
      </c>
      <c r="C73" s="46">
        <f>IF('Resumo por Dia'!$A73="","",'Resumo por Dia'!$E73)</f>
        <v/>
      </c>
      <c r="D73" s="47">
        <f>IF('Resumo por Dia'!$A73="","",'Resumo por Dia'!$F73)</f>
        <v/>
      </c>
      <c r="E73" s="45">
        <f>IF('Resumo por Dia'!$A73="","",'Resumo por Dia'!$G73)</f>
        <v/>
      </c>
      <c r="F73" s="47">
        <f>IF('Resumo por Dia'!$A73="","",'Resumo por Dia'!$H73)</f>
        <v/>
      </c>
      <c r="G73" s="45">
        <f>IF('Resumo por Dia'!$A73="","",'Resumo por Dia'!$N73)</f>
        <v/>
      </c>
      <c r="H73" s="45">
        <f>IF('Resumo por Dia'!$A73="","",'Resumo por Dia'!$B73)</f>
        <v/>
      </c>
    </row>
    <row r="74">
      <c r="A74" s="44">
        <f>IF('Resumo por Dia'!$A74="","",'Resumo por Dia'!$A74)</f>
        <v/>
      </c>
      <c r="B74" s="45">
        <f>IF('Resumo por Dia'!$A74="","",'Resumo por Dia'!$D74)</f>
        <v/>
      </c>
      <c r="C74" s="46">
        <f>IF('Resumo por Dia'!$A74="","",'Resumo por Dia'!$E74)</f>
        <v/>
      </c>
      <c r="D74" s="47">
        <f>IF('Resumo por Dia'!$A74="","",'Resumo por Dia'!$F74)</f>
        <v/>
      </c>
      <c r="E74" s="45">
        <f>IF('Resumo por Dia'!$A74="","",'Resumo por Dia'!$G74)</f>
        <v/>
      </c>
      <c r="F74" s="47">
        <f>IF('Resumo por Dia'!$A74="","",'Resumo por Dia'!$H74)</f>
        <v/>
      </c>
      <c r="G74" s="45">
        <f>IF('Resumo por Dia'!$A74="","",'Resumo por Dia'!$N74)</f>
        <v/>
      </c>
      <c r="H74" s="45">
        <f>IF('Resumo por Dia'!$A74="","",'Resumo por Dia'!$B74)</f>
        <v/>
      </c>
    </row>
    <row r="75">
      <c r="A75" s="44">
        <f>IF('Resumo por Dia'!$A75="","",'Resumo por Dia'!$A75)</f>
        <v/>
      </c>
      <c r="B75" s="45">
        <f>IF('Resumo por Dia'!$A75="","",'Resumo por Dia'!$D75)</f>
        <v/>
      </c>
      <c r="C75" s="46">
        <f>IF('Resumo por Dia'!$A75="","",'Resumo por Dia'!$E75)</f>
        <v/>
      </c>
      <c r="D75" s="47">
        <f>IF('Resumo por Dia'!$A75="","",'Resumo por Dia'!$F75)</f>
        <v/>
      </c>
      <c r="E75" s="45">
        <f>IF('Resumo por Dia'!$A75="","",'Resumo por Dia'!$G75)</f>
        <v/>
      </c>
      <c r="F75" s="47">
        <f>IF('Resumo por Dia'!$A75="","",'Resumo por Dia'!$H75)</f>
        <v/>
      </c>
      <c r="G75" s="45">
        <f>IF('Resumo por Dia'!$A75="","",'Resumo por Dia'!$N75)</f>
        <v/>
      </c>
      <c r="H75" s="45">
        <f>IF('Resumo por Dia'!$A75="","",'Resumo por Dia'!$B75)</f>
        <v/>
      </c>
    </row>
    <row r="76">
      <c r="A76" s="44">
        <f>IF('Resumo por Dia'!$A76="","",'Resumo por Dia'!$A76)</f>
        <v/>
      </c>
      <c r="B76" s="45">
        <f>IF('Resumo por Dia'!$A76="","",'Resumo por Dia'!$D76)</f>
        <v/>
      </c>
      <c r="C76" s="46">
        <f>IF('Resumo por Dia'!$A76="","",'Resumo por Dia'!$E76)</f>
        <v/>
      </c>
      <c r="D76" s="47">
        <f>IF('Resumo por Dia'!$A76="","",'Resumo por Dia'!$F76)</f>
        <v/>
      </c>
      <c r="E76" s="45">
        <f>IF('Resumo por Dia'!$A76="","",'Resumo por Dia'!$G76)</f>
        <v/>
      </c>
      <c r="F76" s="47">
        <f>IF('Resumo por Dia'!$A76="","",'Resumo por Dia'!$H76)</f>
        <v/>
      </c>
      <c r="G76" s="45">
        <f>IF('Resumo por Dia'!$A76="","",'Resumo por Dia'!$N76)</f>
        <v/>
      </c>
      <c r="H76" s="45">
        <f>IF('Resumo por Dia'!$A76="","",'Resumo por Dia'!$B76)</f>
        <v/>
      </c>
    </row>
    <row r="77">
      <c r="A77" s="44">
        <f>IF('Resumo por Dia'!$A77="","",'Resumo por Dia'!$A77)</f>
        <v/>
      </c>
      <c r="B77" s="45">
        <f>IF('Resumo por Dia'!$A77="","",'Resumo por Dia'!$D77)</f>
        <v/>
      </c>
      <c r="C77" s="46">
        <f>IF('Resumo por Dia'!$A77="","",'Resumo por Dia'!$E77)</f>
        <v/>
      </c>
      <c r="D77" s="47">
        <f>IF('Resumo por Dia'!$A77="","",'Resumo por Dia'!$F77)</f>
        <v/>
      </c>
      <c r="E77" s="45">
        <f>IF('Resumo por Dia'!$A77="","",'Resumo por Dia'!$G77)</f>
        <v/>
      </c>
      <c r="F77" s="47">
        <f>IF('Resumo por Dia'!$A77="","",'Resumo por Dia'!$H77)</f>
        <v/>
      </c>
      <c r="G77" s="45">
        <f>IF('Resumo por Dia'!$A77="","",'Resumo por Dia'!$N77)</f>
        <v/>
      </c>
      <c r="H77" s="45">
        <f>IF('Resumo por Dia'!$A77="","",'Resumo por Dia'!$B77)</f>
        <v/>
      </c>
    </row>
    <row r="78">
      <c r="A78" s="44">
        <f>IF('Resumo por Dia'!$A78="","",'Resumo por Dia'!$A78)</f>
        <v/>
      </c>
      <c r="B78" s="45">
        <f>IF('Resumo por Dia'!$A78="","",'Resumo por Dia'!$D78)</f>
        <v/>
      </c>
      <c r="C78" s="46">
        <f>IF('Resumo por Dia'!$A78="","",'Resumo por Dia'!$E78)</f>
        <v/>
      </c>
      <c r="D78" s="47">
        <f>IF('Resumo por Dia'!$A78="","",'Resumo por Dia'!$F78)</f>
        <v/>
      </c>
      <c r="E78" s="45">
        <f>IF('Resumo por Dia'!$A78="","",'Resumo por Dia'!$G78)</f>
        <v/>
      </c>
      <c r="F78" s="47">
        <f>IF('Resumo por Dia'!$A78="","",'Resumo por Dia'!$H78)</f>
        <v/>
      </c>
      <c r="G78" s="45">
        <f>IF('Resumo por Dia'!$A78="","",'Resumo por Dia'!$N78)</f>
        <v/>
      </c>
      <c r="H78" s="45">
        <f>IF('Resumo por Dia'!$A78="","",'Resumo por Dia'!$B78)</f>
        <v/>
      </c>
    </row>
    <row r="79">
      <c r="A79" s="44">
        <f>IF('Resumo por Dia'!$A79="","",'Resumo por Dia'!$A79)</f>
        <v/>
      </c>
      <c r="B79" s="45">
        <f>IF('Resumo por Dia'!$A79="","",'Resumo por Dia'!$D79)</f>
        <v/>
      </c>
      <c r="C79" s="46">
        <f>IF('Resumo por Dia'!$A79="","",'Resumo por Dia'!$E79)</f>
        <v/>
      </c>
      <c r="D79" s="47">
        <f>IF('Resumo por Dia'!$A79="","",'Resumo por Dia'!$F79)</f>
        <v/>
      </c>
      <c r="E79" s="45">
        <f>IF('Resumo por Dia'!$A79="","",'Resumo por Dia'!$G79)</f>
        <v/>
      </c>
      <c r="F79" s="47">
        <f>IF('Resumo por Dia'!$A79="","",'Resumo por Dia'!$H79)</f>
        <v/>
      </c>
      <c r="G79" s="45">
        <f>IF('Resumo por Dia'!$A79="","",'Resumo por Dia'!$N79)</f>
        <v/>
      </c>
      <c r="H79" s="45">
        <f>IF('Resumo por Dia'!$A79="","",'Resumo por Dia'!$B79)</f>
        <v/>
      </c>
    </row>
    <row r="80">
      <c r="A80" s="44">
        <f>IF('Resumo por Dia'!$A80="","",'Resumo por Dia'!$A80)</f>
        <v/>
      </c>
      <c r="B80" s="45">
        <f>IF('Resumo por Dia'!$A80="","",'Resumo por Dia'!$D80)</f>
        <v/>
      </c>
      <c r="C80" s="46">
        <f>IF('Resumo por Dia'!$A80="","",'Resumo por Dia'!$E80)</f>
        <v/>
      </c>
      <c r="D80" s="47">
        <f>IF('Resumo por Dia'!$A80="","",'Resumo por Dia'!$F80)</f>
        <v/>
      </c>
      <c r="E80" s="45">
        <f>IF('Resumo por Dia'!$A80="","",'Resumo por Dia'!$G80)</f>
        <v/>
      </c>
      <c r="F80" s="47">
        <f>IF('Resumo por Dia'!$A80="","",'Resumo por Dia'!$H80)</f>
        <v/>
      </c>
      <c r="G80" s="45">
        <f>IF('Resumo por Dia'!$A80="","",'Resumo por Dia'!$N80)</f>
        <v/>
      </c>
      <c r="H80" s="45">
        <f>IF('Resumo por Dia'!$A80="","",'Resumo por Dia'!$B80)</f>
        <v/>
      </c>
    </row>
    <row r="81">
      <c r="A81" s="44">
        <f>IF('Resumo por Dia'!$A81="","",'Resumo por Dia'!$A81)</f>
        <v/>
      </c>
      <c r="B81" s="45">
        <f>IF('Resumo por Dia'!$A81="","",'Resumo por Dia'!$D81)</f>
        <v/>
      </c>
      <c r="C81" s="46">
        <f>IF('Resumo por Dia'!$A81="","",'Resumo por Dia'!$E81)</f>
        <v/>
      </c>
      <c r="D81" s="47">
        <f>IF('Resumo por Dia'!$A81="","",'Resumo por Dia'!$F81)</f>
        <v/>
      </c>
      <c r="E81" s="45">
        <f>IF('Resumo por Dia'!$A81="","",'Resumo por Dia'!$G81)</f>
        <v/>
      </c>
      <c r="F81" s="47">
        <f>IF('Resumo por Dia'!$A81="","",'Resumo por Dia'!$H81)</f>
        <v/>
      </c>
      <c r="G81" s="45">
        <f>IF('Resumo por Dia'!$A81="","",'Resumo por Dia'!$N81)</f>
        <v/>
      </c>
      <c r="H81" s="45">
        <f>IF('Resumo por Dia'!$A81="","",'Resumo por Dia'!$B81)</f>
        <v/>
      </c>
    </row>
    <row r="82">
      <c r="A82" s="44">
        <f>IF('Resumo por Dia'!$A82="","",'Resumo por Dia'!$A82)</f>
        <v/>
      </c>
      <c r="B82" s="45">
        <f>IF('Resumo por Dia'!$A82="","",'Resumo por Dia'!$D82)</f>
        <v/>
      </c>
      <c r="C82" s="46">
        <f>IF('Resumo por Dia'!$A82="","",'Resumo por Dia'!$E82)</f>
        <v/>
      </c>
      <c r="D82" s="47">
        <f>IF('Resumo por Dia'!$A82="","",'Resumo por Dia'!$F82)</f>
        <v/>
      </c>
      <c r="E82" s="45">
        <f>IF('Resumo por Dia'!$A82="","",'Resumo por Dia'!$G82)</f>
        <v/>
      </c>
      <c r="F82" s="47">
        <f>IF('Resumo por Dia'!$A82="","",'Resumo por Dia'!$H82)</f>
        <v/>
      </c>
      <c r="G82" s="45">
        <f>IF('Resumo por Dia'!$A82="","",'Resumo por Dia'!$N82)</f>
        <v/>
      </c>
      <c r="H82" s="45">
        <f>IF('Resumo por Dia'!$A82="","",'Resumo por Dia'!$B82)</f>
        <v/>
      </c>
    </row>
    <row r="83">
      <c r="A83" s="44">
        <f>IF('Resumo por Dia'!$A83="","",'Resumo por Dia'!$A83)</f>
        <v/>
      </c>
      <c r="B83" s="45">
        <f>IF('Resumo por Dia'!$A83="","",'Resumo por Dia'!$D83)</f>
        <v/>
      </c>
      <c r="C83" s="46">
        <f>IF('Resumo por Dia'!$A83="","",'Resumo por Dia'!$E83)</f>
        <v/>
      </c>
      <c r="D83" s="47">
        <f>IF('Resumo por Dia'!$A83="","",'Resumo por Dia'!$F83)</f>
        <v/>
      </c>
      <c r="E83" s="45">
        <f>IF('Resumo por Dia'!$A83="","",'Resumo por Dia'!$G83)</f>
        <v/>
      </c>
      <c r="F83" s="47">
        <f>IF('Resumo por Dia'!$A83="","",'Resumo por Dia'!$H83)</f>
        <v/>
      </c>
      <c r="G83" s="45">
        <f>IF('Resumo por Dia'!$A83="","",'Resumo por Dia'!$N83)</f>
        <v/>
      </c>
      <c r="H83" s="45">
        <f>IF('Resumo por Dia'!$A83="","",'Resumo por Dia'!$B83)</f>
        <v/>
      </c>
    </row>
    <row r="84">
      <c r="A84" s="44">
        <f>IF('Resumo por Dia'!$A84="","",'Resumo por Dia'!$A84)</f>
        <v/>
      </c>
      <c r="B84" s="45">
        <f>IF('Resumo por Dia'!$A84="","",'Resumo por Dia'!$D84)</f>
        <v/>
      </c>
      <c r="C84" s="46">
        <f>IF('Resumo por Dia'!$A84="","",'Resumo por Dia'!$E84)</f>
        <v/>
      </c>
      <c r="D84" s="47">
        <f>IF('Resumo por Dia'!$A84="","",'Resumo por Dia'!$F84)</f>
        <v/>
      </c>
      <c r="E84" s="45">
        <f>IF('Resumo por Dia'!$A84="","",'Resumo por Dia'!$G84)</f>
        <v/>
      </c>
      <c r="F84" s="47">
        <f>IF('Resumo por Dia'!$A84="","",'Resumo por Dia'!$H84)</f>
        <v/>
      </c>
      <c r="G84" s="45">
        <f>IF('Resumo por Dia'!$A84="","",'Resumo por Dia'!$N84)</f>
        <v/>
      </c>
      <c r="H84" s="45">
        <f>IF('Resumo por Dia'!$A84="","",'Resumo por Dia'!$B84)</f>
        <v/>
      </c>
    </row>
    <row r="85">
      <c r="A85" s="44">
        <f>IF('Resumo por Dia'!$A85="","",'Resumo por Dia'!$A85)</f>
        <v/>
      </c>
      <c r="B85" s="45">
        <f>IF('Resumo por Dia'!$A85="","",'Resumo por Dia'!$D85)</f>
        <v/>
      </c>
      <c r="C85" s="46">
        <f>IF('Resumo por Dia'!$A85="","",'Resumo por Dia'!$E85)</f>
        <v/>
      </c>
      <c r="D85" s="47">
        <f>IF('Resumo por Dia'!$A85="","",'Resumo por Dia'!$F85)</f>
        <v/>
      </c>
      <c r="E85" s="45">
        <f>IF('Resumo por Dia'!$A85="","",'Resumo por Dia'!$G85)</f>
        <v/>
      </c>
      <c r="F85" s="47">
        <f>IF('Resumo por Dia'!$A85="","",'Resumo por Dia'!$H85)</f>
        <v/>
      </c>
      <c r="G85" s="45">
        <f>IF('Resumo por Dia'!$A85="","",'Resumo por Dia'!$N85)</f>
        <v/>
      </c>
      <c r="H85" s="45">
        <f>IF('Resumo por Dia'!$A85="","",'Resumo por Dia'!$B85)</f>
        <v/>
      </c>
    </row>
    <row r="86">
      <c r="A86" s="44">
        <f>IF('Resumo por Dia'!$A86="","",'Resumo por Dia'!$A86)</f>
        <v/>
      </c>
      <c r="B86" s="45">
        <f>IF('Resumo por Dia'!$A86="","",'Resumo por Dia'!$D86)</f>
        <v/>
      </c>
      <c r="C86" s="46">
        <f>IF('Resumo por Dia'!$A86="","",'Resumo por Dia'!$E86)</f>
        <v/>
      </c>
      <c r="D86" s="47">
        <f>IF('Resumo por Dia'!$A86="","",'Resumo por Dia'!$F86)</f>
        <v/>
      </c>
      <c r="E86" s="45">
        <f>IF('Resumo por Dia'!$A86="","",'Resumo por Dia'!$G86)</f>
        <v/>
      </c>
      <c r="F86" s="47">
        <f>IF('Resumo por Dia'!$A86="","",'Resumo por Dia'!$H86)</f>
        <v/>
      </c>
      <c r="G86" s="45">
        <f>IF('Resumo por Dia'!$A86="","",'Resumo por Dia'!$N86)</f>
        <v/>
      </c>
      <c r="H86" s="45">
        <f>IF('Resumo por Dia'!$A86="","",'Resumo por Dia'!$B86)</f>
        <v/>
      </c>
    </row>
    <row r="87">
      <c r="A87" s="44">
        <f>IF('Resumo por Dia'!$A87="","",'Resumo por Dia'!$A87)</f>
        <v/>
      </c>
      <c r="B87" s="45">
        <f>IF('Resumo por Dia'!$A87="","",'Resumo por Dia'!$D87)</f>
        <v/>
      </c>
      <c r="C87" s="46">
        <f>IF('Resumo por Dia'!$A87="","",'Resumo por Dia'!$E87)</f>
        <v/>
      </c>
      <c r="D87" s="47">
        <f>IF('Resumo por Dia'!$A87="","",'Resumo por Dia'!$F87)</f>
        <v/>
      </c>
      <c r="E87" s="45">
        <f>IF('Resumo por Dia'!$A87="","",'Resumo por Dia'!$G87)</f>
        <v/>
      </c>
      <c r="F87" s="47">
        <f>IF('Resumo por Dia'!$A87="","",'Resumo por Dia'!$H87)</f>
        <v/>
      </c>
      <c r="G87" s="45">
        <f>IF('Resumo por Dia'!$A87="","",'Resumo por Dia'!$N87)</f>
        <v/>
      </c>
      <c r="H87" s="45">
        <f>IF('Resumo por Dia'!$A87="","",'Resumo por Dia'!$B87)</f>
        <v/>
      </c>
    </row>
    <row r="88">
      <c r="A88" s="44">
        <f>IF('Resumo por Dia'!$A88="","",'Resumo por Dia'!$A88)</f>
        <v/>
      </c>
      <c r="B88" s="45">
        <f>IF('Resumo por Dia'!$A88="","",'Resumo por Dia'!$D88)</f>
        <v/>
      </c>
      <c r="C88" s="46">
        <f>IF('Resumo por Dia'!$A88="","",'Resumo por Dia'!$E88)</f>
        <v/>
      </c>
      <c r="D88" s="47">
        <f>IF('Resumo por Dia'!$A88="","",'Resumo por Dia'!$F88)</f>
        <v/>
      </c>
      <c r="E88" s="45">
        <f>IF('Resumo por Dia'!$A88="","",'Resumo por Dia'!$G88)</f>
        <v/>
      </c>
      <c r="F88" s="47">
        <f>IF('Resumo por Dia'!$A88="","",'Resumo por Dia'!$H88)</f>
        <v/>
      </c>
      <c r="G88" s="45">
        <f>IF('Resumo por Dia'!$A88="","",'Resumo por Dia'!$N88)</f>
        <v/>
      </c>
      <c r="H88" s="45">
        <f>IF('Resumo por Dia'!$A88="","",'Resumo por Dia'!$B88)</f>
        <v/>
      </c>
    </row>
    <row r="89">
      <c r="A89" s="44">
        <f>IF('Resumo por Dia'!$A89="","",'Resumo por Dia'!$A89)</f>
        <v/>
      </c>
      <c r="B89" s="45">
        <f>IF('Resumo por Dia'!$A89="","",'Resumo por Dia'!$D89)</f>
        <v/>
      </c>
      <c r="C89" s="46">
        <f>IF('Resumo por Dia'!$A89="","",'Resumo por Dia'!$E89)</f>
        <v/>
      </c>
      <c r="D89" s="47">
        <f>IF('Resumo por Dia'!$A89="","",'Resumo por Dia'!$F89)</f>
        <v/>
      </c>
      <c r="E89" s="45">
        <f>IF('Resumo por Dia'!$A89="","",'Resumo por Dia'!$G89)</f>
        <v/>
      </c>
      <c r="F89" s="47">
        <f>IF('Resumo por Dia'!$A89="","",'Resumo por Dia'!$H89)</f>
        <v/>
      </c>
      <c r="G89" s="45">
        <f>IF('Resumo por Dia'!$A89="","",'Resumo por Dia'!$N89)</f>
        <v/>
      </c>
      <c r="H89" s="45">
        <f>IF('Resumo por Dia'!$A89="","",'Resumo por Dia'!$B89)</f>
        <v/>
      </c>
    </row>
    <row r="90">
      <c r="A90" s="44">
        <f>IF('Resumo por Dia'!$A90="","",'Resumo por Dia'!$A90)</f>
        <v/>
      </c>
      <c r="B90" s="45">
        <f>IF('Resumo por Dia'!$A90="","",'Resumo por Dia'!$D90)</f>
        <v/>
      </c>
      <c r="C90" s="46">
        <f>IF('Resumo por Dia'!$A90="","",'Resumo por Dia'!$E90)</f>
        <v/>
      </c>
      <c r="D90" s="47">
        <f>IF('Resumo por Dia'!$A90="","",'Resumo por Dia'!$F90)</f>
        <v/>
      </c>
      <c r="E90" s="45">
        <f>IF('Resumo por Dia'!$A90="","",'Resumo por Dia'!$G90)</f>
        <v/>
      </c>
      <c r="F90" s="47">
        <f>IF('Resumo por Dia'!$A90="","",'Resumo por Dia'!$H90)</f>
        <v/>
      </c>
      <c r="G90" s="45">
        <f>IF('Resumo por Dia'!$A90="","",'Resumo por Dia'!$N90)</f>
        <v/>
      </c>
      <c r="H90" s="45">
        <f>IF('Resumo por Dia'!$A90="","",'Resumo por Dia'!$B90)</f>
        <v/>
      </c>
    </row>
    <row r="91">
      <c r="A91" s="44">
        <f>IF('Resumo por Dia'!$A91="","",'Resumo por Dia'!$A91)</f>
        <v/>
      </c>
      <c r="B91" s="45">
        <f>IF('Resumo por Dia'!$A91="","",'Resumo por Dia'!$D91)</f>
        <v/>
      </c>
      <c r="C91" s="46">
        <f>IF('Resumo por Dia'!$A91="","",'Resumo por Dia'!$E91)</f>
        <v/>
      </c>
      <c r="D91" s="47">
        <f>IF('Resumo por Dia'!$A91="","",'Resumo por Dia'!$F91)</f>
        <v/>
      </c>
      <c r="E91" s="45">
        <f>IF('Resumo por Dia'!$A91="","",'Resumo por Dia'!$G91)</f>
        <v/>
      </c>
      <c r="F91" s="47">
        <f>IF('Resumo por Dia'!$A91="","",'Resumo por Dia'!$H91)</f>
        <v/>
      </c>
      <c r="G91" s="45">
        <f>IF('Resumo por Dia'!$A91="","",'Resumo por Dia'!$N91)</f>
        <v/>
      </c>
      <c r="H91" s="45">
        <f>IF('Resumo por Dia'!$A91="","",'Resumo por Dia'!$B91)</f>
        <v/>
      </c>
    </row>
    <row r="92">
      <c r="A92" s="44">
        <f>IF('Resumo por Dia'!$A92="","",'Resumo por Dia'!$A92)</f>
        <v/>
      </c>
      <c r="B92" s="45">
        <f>IF('Resumo por Dia'!$A92="","",'Resumo por Dia'!$D92)</f>
        <v/>
      </c>
      <c r="C92" s="46">
        <f>IF('Resumo por Dia'!$A92="","",'Resumo por Dia'!$E92)</f>
        <v/>
      </c>
      <c r="D92" s="47">
        <f>IF('Resumo por Dia'!$A92="","",'Resumo por Dia'!$F92)</f>
        <v/>
      </c>
      <c r="E92" s="45">
        <f>IF('Resumo por Dia'!$A92="","",'Resumo por Dia'!$G92)</f>
        <v/>
      </c>
      <c r="F92" s="47">
        <f>IF('Resumo por Dia'!$A92="","",'Resumo por Dia'!$H92)</f>
        <v/>
      </c>
      <c r="G92" s="45">
        <f>IF('Resumo por Dia'!$A92="","",'Resumo por Dia'!$N92)</f>
        <v/>
      </c>
      <c r="H92" s="45">
        <f>IF('Resumo por Dia'!$A92="","",'Resumo por Dia'!$B92)</f>
        <v/>
      </c>
    </row>
    <row r="93">
      <c r="A93" s="44">
        <f>IF('Resumo por Dia'!$A93="","",'Resumo por Dia'!$A93)</f>
        <v/>
      </c>
      <c r="B93" s="45">
        <f>IF('Resumo por Dia'!$A93="","",'Resumo por Dia'!$D93)</f>
        <v/>
      </c>
      <c r="C93" s="46">
        <f>IF('Resumo por Dia'!$A93="","",'Resumo por Dia'!$E93)</f>
        <v/>
      </c>
      <c r="D93" s="47">
        <f>IF('Resumo por Dia'!$A93="","",'Resumo por Dia'!$F93)</f>
        <v/>
      </c>
      <c r="E93" s="45">
        <f>IF('Resumo por Dia'!$A93="","",'Resumo por Dia'!$G93)</f>
        <v/>
      </c>
      <c r="F93" s="47">
        <f>IF('Resumo por Dia'!$A93="","",'Resumo por Dia'!$H93)</f>
        <v/>
      </c>
      <c r="G93" s="45">
        <f>IF('Resumo por Dia'!$A93="","",'Resumo por Dia'!$N93)</f>
        <v/>
      </c>
      <c r="H93" s="45">
        <f>IF('Resumo por Dia'!$A93="","",'Resumo por Dia'!$B93)</f>
        <v/>
      </c>
    </row>
    <row r="94">
      <c r="A94" s="44">
        <f>IF('Resumo por Dia'!$A94="","",'Resumo por Dia'!$A94)</f>
        <v/>
      </c>
      <c r="B94" s="45">
        <f>IF('Resumo por Dia'!$A94="","",'Resumo por Dia'!$D94)</f>
        <v/>
      </c>
      <c r="C94" s="46">
        <f>IF('Resumo por Dia'!$A94="","",'Resumo por Dia'!$E94)</f>
        <v/>
      </c>
      <c r="D94" s="47">
        <f>IF('Resumo por Dia'!$A94="","",'Resumo por Dia'!$F94)</f>
        <v/>
      </c>
      <c r="E94" s="45">
        <f>IF('Resumo por Dia'!$A94="","",'Resumo por Dia'!$G94)</f>
        <v/>
      </c>
      <c r="F94" s="47">
        <f>IF('Resumo por Dia'!$A94="","",'Resumo por Dia'!$H94)</f>
        <v/>
      </c>
      <c r="G94" s="45">
        <f>IF('Resumo por Dia'!$A94="","",'Resumo por Dia'!$N94)</f>
        <v/>
      </c>
      <c r="H94" s="45">
        <f>IF('Resumo por Dia'!$A94="","",'Resumo por Dia'!$B94)</f>
        <v/>
      </c>
    </row>
    <row r="95">
      <c r="A95" s="44">
        <f>IF('Resumo por Dia'!$A95="","",'Resumo por Dia'!$A95)</f>
        <v/>
      </c>
      <c r="B95" s="45">
        <f>IF('Resumo por Dia'!$A95="","",'Resumo por Dia'!$D95)</f>
        <v/>
      </c>
      <c r="C95" s="46">
        <f>IF('Resumo por Dia'!$A95="","",'Resumo por Dia'!$E95)</f>
        <v/>
      </c>
      <c r="D95" s="47">
        <f>IF('Resumo por Dia'!$A95="","",'Resumo por Dia'!$F95)</f>
        <v/>
      </c>
      <c r="E95" s="45">
        <f>IF('Resumo por Dia'!$A95="","",'Resumo por Dia'!$G95)</f>
        <v/>
      </c>
      <c r="F95" s="47">
        <f>IF('Resumo por Dia'!$A95="","",'Resumo por Dia'!$H95)</f>
        <v/>
      </c>
      <c r="G95" s="45">
        <f>IF('Resumo por Dia'!$A95="","",'Resumo por Dia'!$N95)</f>
        <v/>
      </c>
      <c r="H95" s="45">
        <f>IF('Resumo por Dia'!$A95="","",'Resumo por Dia'!$B95)</f>
        <v/>
      </c>
    </row>
    <row r="96">
      <c r="A96" s="44">
        <f>IF('Resumo por Dia'!$A96="","",'Resumo por Dia'!$A96)</f>
        <v/>
      </c>
      <c r="B96" s="45">
        <f>IF('Resumo por Dia'!$A96="","",'Resumo por Dia'!$D96)</f>
        <v/>
      </c>
      <c r="C96" s="46">
        <f>IF('Resumo por Dia'!$A96="","",'Resumo por Dia'!$E96)</f>
        <v/>
      </c>
      <c r="D96" s="47">
        <f>IF('Resumo por Dia'!$A96="","",'Resumo por Dia'!$F96)</f>
        <v/>
      </c>
      <c r="E96" s="45">
        <f>IF('Resumo por Dia'!$A96="","",'Resumo por Dia'!$G96)</f>
        <v/>
      </c>
      <c r="F96" s="47">
        <f>IF('Resumo por Dia'!$A96="","",'Resumo por Dia'!$H96)</f>
        <v/>
      </c>
      <c r="G96" s="45">
        <f>IF('Resumo por Dia'!$A96="","",'Resumo por Dia'!$N96)</f>
        <v/>
      </c>
      <c r="H96" s="45">
        <f>IF('Resumo por Dia'!$A96="","",'Resumo por Dia'!$B96)</f>
        <v/>
      </c>
    </row>
    <row r="97">
      <c r="A97" s="44">
        <f>IF('Resumo por Dia'!$A97="","",'Resumo por Dia'!$A97)</f>
        <v/>
      </c>
      <c r="B97" s="45">
        <f>IF('Resumo por Dia'!$A97="","",'Resumo por Dia'!$D97)</f>
        <v/>
      </c>
      <c r="C97" s="46">
        <f>IF('Resumo por Dia'!$A97="","",'Resumo por Dia'!$E97)</f>
        <v/>
      </c>
      <c r="D97" s="47">
        <f>IF('Resumo por Dia'!$A97="","",'Resumo por Dia'!$F97)</f>
        <v/>
      </c>
      <c r="E97" s="45">
        <f>IF('Resumo por Dia'!$A97="","",'Resumo por Dia'!$G97)</f>
        <v/>
      </c>
      <c r="F97" s="47">
        <f>IF('Resumo por Dia'!$A97="","",'Resumo por Dia'!$H97)</f>
        <v/>
      </c>
      <c r="G97" s="45">
        <f>IF('Resumo por Dia'!$A97="","",'Resumo por Dia'!$N97)</f>
        <v/>
      </c>
      <c r="H97" s="45">
        <f>IF('Resumo por Dia'!$A97="","",'Resumo por Dia'!$B97)</f>
        <v/>
      </c>
    </row>
    <row r="98">
      <c r="A98" s="44">
        <f>IF('Resumo por Dia'!$A98="","",'Resumo por Dia'!$A98)</f>
        <v/>
      </c>
      <c r="B98" s="45">
        <f>IF('Resumo por Dia'!$A98="","",'Resumo por Dia'!$D98)</f>
        <v/>
      </c>
      <c r="C98" s="46">
        <f>IF('Resumo por Dia'!$A98="","",'Resumo por Dia'!$E98)</f>
        <v/>
      </c>
      <c r="D98" s="47">
        <f>IF('Resumo por Dia'!$A98="","",'Resumo por Dia'!$F98)</f>
        <v/>
      </c>
      <c r="E98" s="45">
        <f>IF('Resumo por Dia'!$A98="","",'Resumo por Dia'!$G98)</f>
        <v/>
      </c>
      <c r="F98" s="47">
        <f>IF('Resumo por Dia'!$A98="","",'Resumo por Dia'!$H98)</f>
        <v/>
      </c>
      <c r="G98" s="45">
        <f>IF('Resumo por Dia'!$A98="","",'Resumo por Dia'!$N98)</f>
        <v/>
      </c>
      <c r="H98" s="45">
        <f>IF('Resumo por Dia'!$A98="","",'Resumo por Dia'!$B98)</f>
        <v/>
      </c>
    </row>
    <row r="99">
      <c r="A99" s="44">
        <f>IF('Resumo por Dia'!$A99="","",'Resumo por Dia'!$A99)</f>
        <v/>
      </c>
      <c r="B99" s="45">
        <f>IF('Resumo por Dia'!$A99="","",'Resumo por Dia'!$D99)</f>
        <v/>
      </c>
      <c r="C99" s="46">
        <f>IF('Resumo por Dia'!$A99="","",'Resumo por Dia'!$E99)</f>
        <v/>
      </c>
      <c r="D99" s="47">
        <f>IF('Resumo por Dia'!$A99="","",'Resumo por Dia'!$F99)</f>
        <v/>
      </c>
      <c r="E99" s="45">
        <f>IF('Resumo por Dia'!$A99="","",'Resumo por Dia'!$G99)</f>
        <v/>
      </c>
      <c r="F99" s="47">
        <f>IF('Resumo por Dia'!$A99="","",'Resumo por Dia'!$H99)</f>
        <v/>
      </c>
      <c r="G99" s="45">
        <f>IF('Resumo por Dia'!$A99="","",'Resumo por Dia'!$N99)</f>
        <v/>
      </c>
      <c r="H99" s="45">
        <f>IF('Resumo por Dia'!$A99="","",'Resumo por Dia'!$B99)</f>
        <v/>
      </c>
    </row>
    <row r="100">
      <c r="A100" s="44">
        <f>IF('Resumo por Dia'!$A100="","",'Resumo por Dia'!$A100)</f>
        <v/>
      </c>
      <c r="B100" s="45">
        <f>IF('Resumo por Dia'!$A100="","",'Resumo por Dia'!$D100)</f>
        <v/>
      </c>
      <c r="C100" s="46">
        <f>IF('Resumo por Dia'!$A100="","",'Resumo por Dia'!$E100)</f>
        <v/>
      </c>
      <c r="D100" s="47">
        <f>IF('Resumo por Dia'!$A100="","",'Resumo por Dia'!$F100)</f>
        <v/>
      </c>
      <c r="E100" s="45">
        <f>IF('Resumo por Dia'!$A100="","",'Resumo por Dia'!$G100)</f>
        <v/>
      </c>
      <c r="F100" s="47">
        <f>IF('Resumo por Dia'!$A100="","",'Resumo por Dia'!$H100)</f>
        <v/>
      </c>
      <c r="G100" s="45">
        <f>IF('Resumo por Dia'!$A100="","",'Resumo por Dia'!$N100)</f>
        <v/>
      </c>
      <c r="H100" s="45">
        <f>IF('Resumo por Dia'!$A100="","",'Resumo por Dia'!$B100)</f>
        <v/>
      </c>
    </row>
    <row r="101">
      <c r="A101" s="44">
        <f>IF('Resumo por Dia'!$A101="","",'Resumo por Dia'!$A101)</f>
        <v/>
      </c>
      <c r="B101" s="45">
        <f>IF('Resumo por Dia'!$A101="","",'Resumo por Dia'!$D101)</f>
        <v/>
      </c>
      <c r="C101" s="46">
        <f>IF('Resumo por Dia'!$A101="","",'Resumo por Dia'!$E101)</f>
        <v/>
      </c>
      <c r="D101" s="47">
        <f>IF('Resumo por Dia'!$A101="","",'Resumo por Dia'!$F101)</f>
        <v/>
      </c>
      <c r="E101" s="45">
        <f>IF('Resumo por Dia'!$A101="","",'Resumo por Dia'!$G101)</f>
        <v/>
      </c>
      <c r="F101" s="47">
        <f>IF('Resumo por Dia'!$A101="","",'Resumo por Dia'!$H101)</f>
        <v/>
      </c>
      <c r="G101" s="45">
        <f>IF('Resumo por Dia'!$A101="","",'Resumo por Dia'!$N101)</f>
        <v/>
      </c>
      <c r="H101" s="45">
        <f>IF('Resumo por Dia'!$A101="","",'Resumo por Dia'!$B101)</f>
        <v/>
      </c>
    </row>
    <row r="102">
      <c r="A102" s="44">
        <f>IF('Resumo por Dia'!$A102="","",'Resumo por Dia'!$A102)</f>
        <v/>
      </c>
      <c r="B102" s="45">
        <f>IF('Resumo por Dia'!$A102="","",'Resumo por Dia'!$D102)</f>
        <v/>
      </c>
      <c r="C102" s="46">
        <f>IF('Resumo por Dia'!$A102="","",'Resumo por Dia'!$E102)</f>
        <v/>
      </c>
      <c r="D102" s="47">
        <f>IF('Resumo por Dia'!$A102="","",'Resumo por Dia'!$F102)</f>
        <v/>
      </c>
      <c r="E102" s="45">
        <f>IF('Resumo por Dia'!$A102="","",'Resumo por Dia'!$G102)</f>
        <v/>
      </c>
      <c r="F102" s="47">
        <f>IF('Resumo por Dia'!$A102="","",'Resumo por Dia'!$H102)</f>
        <v/>
      </c>
      <c r="G102" s="45">
        <f>IF('Resumo por Dia'!$A102="","",'Resumo por Dia'!$N102)</f>
        <v/>
      </c>
      <c r="H102" s="45">
        <f>IF('Resumo por Dia'!$A102="","",'Resumo por Dia'!$B102)</f>
        <v/>
      </c>
    </row>
    <row r="103">
      <c r="A103" s="44">
        <f>IF('Resumo por Dia'!$A103="","",'Resumo por Dia'!$A103)</f>
        <v/>
      </c>
      <c r="B103" s="45">
        <f>IF('Resumo por Dia'!$A103="","",'Resumo por Dia'!$D103)</f>
        <v/>
      </c>
      <c r="C103" s="46">
        <f>IF('Resumo por Dia'!$A103="","",'Resumo por Dia'!$E103)</f>
        <v/>
      </c>
      <c r="D103" s="47">
        <f>IF('Resumo por Dia'!$A103="","",'Resumo por Dia'!$F103)</f>
        <v/>
      </c>
      <c r="E103" s="45">
        <f>IF('Resumo por Dia'!$A103="","",'Resumo por Dia'!$G103)</f>
        <v/>
      </c>
      <c r="F103" s="47">
        <f>IF('Resumo por Dia'!$A103="","",'Resumo por Dia'!$H103)</f>
        <v/>
      </c>
      <c r="G103" s="45">
        <f>IF('Resumo por Dia'!$A103="","",'Resumo por Dia'!$N103)</f>
        <v/>
      </c>
      <c r="H103" s="45">
        <f>IF('Resumo por Dia'!$A103="","",'Resumo por Dia'!$B103)</f>
        <v/>
      </c>
    </row>
    <row r="104">
      <c r="A104" s="44">
        <f>IF('Resumo por Dia'!$A104="","",'Resumo por Dia'!$A104)</f>
        <v/>
      </c>
      <c r="B104" s="45">
        <f>IF('Resumo por Dia'!$A104="","",'Resumo por Dia'!$D104)</f>
        <v/>
      </c>
      <c r="C104" s="46">
        <f>IF('Resumo por Dia'!$A104="","",'Resumo por Dia'!$E104)</f>
        <v/>
      </c>
      <c r="D104" s="47">
        <f>IF('Resumo por Dia'!$A104="","",'Resumo por Dia'!$F104)</f>
        <v/>
      </c>
      <c r="E104" s="45">
        <f>IF('Resumo por Dia'!$A104="","",'Resumo por Dia'!$G104)</f>
        <v/>
      </c>
      <c r="F104" s="47">
        <f>IF('Resumo por Dia'!$A104="","",'Resumo por Dia'!$H104)</f>
        <v/>
      </c>
      <c r="G104" s="45">
        <f>IF('Resumo por Dia'!$A104="","",'Resumo por Dia'!$N104)</f>
        <v/>
      </c>
      <c r="H104" s="45">
        <f>IF('Resumo por Dia'!$A104="","",'Resumo por Dia'!$B104)</f>
        <v/>
      </c>
    </row>
    <row r="105">
      <c r="A105" s="44">
        <f>IF('Resumo por Dia'!$A105="","",'Resumo por Dia'!$A105)</f>
        <v/>
      </c>
      <c r="B105" s="45">
        <f>IF('Resumo por Dia'!$A105="","",'Resumo por Dia'!$D105)</f>
        <v/>
      </c>
      <c r="C105" s="46">
        <f>IF('Resumo por Dia'!$A105="","",'Resumo por Dia'!$E105)</f>
        <v/>
      </c>
      <c r="D105" s="47">
        <f>IF('Resumo por Dia'!$A105="","",'Resumo por Dia'!$F105)</f>
        <v/>
      </c>
      <c r="E105" s="45">
        <f>IF('Resumo por Dia'!$A105="","",'Resumo por Dia'!$G105)</f>
        <v/>
      </c>
      <c r="F105" s="47">
        <f>IF('Resumo por Dia'!$A105="","",'Resumo por Dia'!$H105)</f>
        <v/>
      </c>
      <c r="G105" s="45">
        <f>IF('Resumo por Dia'!$A105="","",'Resumo por Dia'!$N105)</f>
        <v/>
      </c>
      <c r="H105" s="45">
        <f>IF('Resumo por Dia'!$A105="","",'Resumo por Dia'!$B105)</f>
        <v/>
      </c>
    </row>
    <row r="106">
      <c r="A106" s="44">
        <f>IF('Resumo por Dia'!$A106="","",'Resumo por Dia'!$A106)</f>
        <v/>
      </c>
      <c r="B106" s="45">
        <f>IF('Resumo por Dia'!$A106="","",'Resumo por Dia'!$D106)</f>
        <v/>
      </c>
      <c r="C106" s="46">
        <f>IF('Resumo por Dia'!$A106="","",'Resumo por Dia'!$E106)</f>
        <v/>
      </c>
      <c r="D106" s="47">
        <f>IF('Resumo por Dia'!$A106="","",'Resumo por Dia'!$F106)</f>
        <v/>
      </c>
      <c r="E106" s="45">
        <f>IF('Resumo por Dia'!$A106="","",'Resumo por Dia'!$G106)</f>
        <v/>
      </c>
      <c r="F106" s="47">
        <f>IF('Resumo por Dia'!$A106="","",'Resumo por Dia'!$H106)</f>
        <v/>
      </c>
      <c r="G106" s="45">
        <f>IF('Resumo por Dia'!$A106="","",'Resumo por Dia'!$N106)</f>
        <v/>
      </c>
      <c r="H106" s="45">
        <f>IF('Resumo por Dia'!$A106="","",'Resumo por Dia'!$B106)</f>
        <v/>
      </c>
    </row>
    <row r="107">
      <c r="A107" s="44">
        <f>IF('Resumo por Dia'!$A107="","",'Resumo por Dia'!$A107)</f>
        <v/>
      </c>
      <c r="B107" s="45">
        <f>IF('Resumo por Dia'!$A107="","",'Resumo por Dia'!$D107)</f>
        <v/>
      </c>
      <c r="C107" s="46">
        <f>IF('Resumo por Dia'!$A107="","",'Resumo por Dia'!$E107)</f>
        <v/>
      </c>
      <c r="D107" s="47">
        <f>IF('Resumo por Dia'!$A107="","",'Resumo por Dia'!$F107)</f>
        <v/>
      </c>
      <c r="E107" s="45">
        <f>IF('Resumo por Dia'!$A107="","",'Resumo por Dia'!$G107)</f>
        <v/>
      </c>
      <c r="F107" s="47">
        <f>IF('Resumo por Dia'!$A107="","",'Resumo por Dia'!$H107)</f>
        <v/>
      </c>
      <c r="G107" s="45">
        <f>IF('Resumo por Dia'!$A107="","",'Resumo por Dia'!$N107)</f>
        <v/>
      </c>
      <c r="H107" s="45">
        <f>IF('Resumo por Dia'!$A107="","",'Resumo por Dia'!$B107)</f>
        <v/>
      </c>
    </row>
    <row r="108">
      <c r="A108" s="44">
        <f>IF('Resumo por Dia'!$A108="","",'Resumo por Dia'!$A108)</f>
        <v/>
      </c>
      <c r="B108" s="45">
        <f>IF('Resumo por Dia'!$A108="","",'Resumo por Dia'!$D108)</f>
        <v/>
      </c>
      <c r="C108" s="46">
        <f>IF('Resumo por Dia'!$A108="","",'Resumo por Dia'!$E108)</f>
        <v/>
      </c>
      <c r="D108" s="47">
        <f>IF('Resumo por Dia'!$A108="","",'Resumo por Dia'!$F108)</f>
        <v/>
      </c>
      <c r="E108" s="45">
        <f>IF('Resumo por Dia'!$A108="","",'Resumo por Dia'!$G108)</f>
        <v/>
      </c>
      <c r="F108" s="47">
        <f>IF('Resumo por Dia'!$A108="","",'Resumo por Dia'!$H108)</f>
        <v/>
      </c>
      <c r="G108" s="45">
        <f>IF('Resumo por Dia'!$A108="","",'Resumo por Dia'!$N108)</f>
        <v/>
      </c>
      <c r="H108" s="45">
        <f>IF('Resumo por Dia'!$A108="","",'Resumo por Dia'!$B108)</f>
        <v/>
      </c>
    </row>
    <row r="109">
      <c r="A109" s="44">
        <f>IF('Resumo por Dia'!$A109="","",'Resumo por Dia'!$A109)</f>
        <v/>
      </c>
      <c r="B109" s="45">
        <f>IF('Resumo por Dia'!$A109="","",'Resumo por Dia'!$D109)</f>
        <v/>
      </c>
      <c r="C109" s="46">
        <f>IF('Resumo por Dia'!$A109="","",'Resumo por Dia'!$E109)</f>
        <v/>
      </c>
      <c r="D109" s="47">
        <f>IF('Resumo por Dia'!$A109="","",'Resumo por Dia'!$F109)</f>
        <v/>
      </c>
      <c r="E109" s="45">
        <f>IF('Resumo por Dia'!$A109="","",'Resumo por Dia'!$G109)</f>
        <v/>
      </c>
      <c r="F109" s="47">
        <f>IF('Resumo por Dia'!$A109="","",'Resumo por Dia'!$H109)</f>
        <v/>
      </c>
      <c r="G109" s="45">
        <f>IF('Resumo por Dia'!$A109="","",'Resumo por Dia'!$N109)</f>
        <v/>
      </c>
      <c r="H109" s="45">
        <f>IF('Resumo por Dia'!$A109="","",'Resumo por Dia'!$B109)</f>
        <v/>
      </c>
    </row>
    <row r="110">
      <c r="A110" s="44">
        <f>IF('Resumo por Dia'!$A110="","",'Resumo por Dia'!$A110)</f>
        <v/>
      </c>
      <c r="B110" s="45">
        <f>IF('Resumo por Dia'!$A110="","",'Resumo por Dia'!$D110)</f>
        <v/>
      </c>
      <c r="C110" s="46">
        <f>IF('Resumo por Dia'!$A110="","",'Resumo por Dia'!$E110)</f>
        <v/>
      </c>
      <c r="D110" s="47">
        <f>IF('Resumo por Dia'!$A110="","",'Resumo por Dia'!$F110)</f>
        <v/>
      </c>
      <c r="E110" s="45">
        <f>IF('Resumo por Dia'!$A110="","",'Resumo por Dia'!$G110)</f>
        <v/>
      </c>
      <c r="F110" s="47">
        <f>IF('Resumo por Dia'!$A110="","",'Resumo por Dia'!$H110)</f>
        <v/>
      </c>
      <c r="G110" s="45">
        <f>IF('Resumo por Dia'!$A110="","",'Resumo por Dia'!$N110)</f>
        <v/>
      </c>
      <c r="H110" s="45">
        <f>IF('Resumo por Dia'!$A110="","",'Resumo por Dia'!$B110)</f>
        <v/>
      </c>
    </row>
    <row r="111">
      <c r="A111" s="44">
        <f>IF('Resumo por Dia'!$A111="","",'Resumo por Dia'!$A111)</f>
        <v/>
      </c>
      <c r="B111" s="45">
        <f>IF('Resumo por Dia'!$A111="","",'Resumo por Dia'!$D111)</f>
        <v/>
      </c>
      <c r="C111" s="46">
        <f>IF('Resumo por Dia'!$A111="","",'Resumo por Dia'!$E111)</f>
        <v/>
      </c>
      <c r="D111" s="47">
        <f>IF('Resumo por Dia'!$A111="","",'Resumo por Dia'!$F111)</f>
        <v/>
      </c>
      <c r="E111" s="45">
        <f>IF('Resumo por Dia'!$A111="","",'Resumo por Dia'!$G111)</f>
        <v/>
      </c>
      <c r="F111" s="47">
        <f>IF('Resumo por Dia'!$A111="","",'Resumo por Dia'!$H111)</f>
        <v/>
      </c>
      <c r="G111" s="45">
        <f>IF('Resumo por Dia'!$A111="","",'Resumo por Dia'!$N111)</f>
        <v/>
      </c>
      <c r="H111" s="45">
        <f>IF('Resumo por Dia'!$A111="","",'Resumo por Dia'!$B111)</f>
        <v/>
      </c>
    </row>
    <row r="112">
      <c r="A112" s="44">
        <f>IF('Resumo por Dia'!$A112="","",'Resumo por Dia'!$A112)</f>
        <v/>
      </c>
      <c r="B112" s="45">
        <f>IF('Resumo por Dia'!$A112="","",'Resumo por Dia'!$D112)</f>
        <v/>
      </c>
      <c r="C112" s="46">
        <f>IF('Resumo por Dia'!$A112="","",'Resumo por Dia'!$E112)</f>
        <v/>
      </c>
      <c r="D112" s="47">
        <f>IF('Resumo por Dia'!$A112="","",'Resumo por Dia'!$F112)</f>
        <v/>
      </c>
      <c r="E112" s="45">
        <f>IF('Resumo por Dia'!$A112="","",'Resumo por Dia'!$G112)</f>
        <v/>
      </c>
      <c r="F112" s="47">
        <f>IF('Resumo por Dia'!$A112="","",'Resumo por Dia'!$H112)</f>
        <v/>
      </c>
      <c r="G112" s="45">
        <f>IF('Resumo por Dia'!$A112="","",'Resumo por Dia'!$N112)</f>
        <v/>
      </c>
      <c r="H112" s="45">
        <f>IF('Resumo por Dia'!$A112="","",'Resumo por Dia'!$B112)</f>
        <v/>
      </c>
    </row>
    <row r="113">
      <c r="A113" s="44">
        <f>IF('Resumo por Dia'!$A113="","",'Resumo por Dia'!$A113)</f>
        <v/>
      </c>
      <c r="B113" s="45">
        <f>IF('Resumo por Dia'!$A113="","",'Resumo por Dia'!$D113)</f>
        <v/>
      </c>
      <c r="C113" s="46">
        <f>IF('Resumo por Dia'!$A113="","",'Resumo por Dia'!$E113)</f>
        <v/>
      </c>
      <c r="D113" s="47">
        <f>IF('Resumo por Dia'!$A113="","",'Resumo por Dia'!$F113)</f>
        <v/>
      </c>
      <c r="E113" s="45">
        <f>IF('Resumo por Dia'!$A113="","",'Resumo por Dia'!$G113)</f>
        <v/>
      </c>
      <c r="F113" s="47">
        <f>IF('Resumo por Dia'!$A113="","",'Resumo por Dia'!$H113)</f>
        <v/>
      </c>
      <c r="G113" s="45">
        <f>IF('Resumo por Dia'!$A113="","",'Resumo por Dia'!$N113)</f>
        <v/>
      </c>
      <c r="H113" s="45">
        <f>IF('Resumo por Dia'!$A113="","",'Resumo por Dia'!$B113)</f>
        <v/>
      </c>
    </row>
    <row r="114">
      <c r="A114" s="44">
        <f>IF('Resumo por Dia'!$A114="","",'Resumo por Dia'!$A114)</f>
        <v/>
      </c>
      <c r="B114" s="45">
        <f>IF('Resumo por Dia'!$A114="","",'Resumo por Dia'!$D114)</f>
        <v/>
      </c>
      <c r="C114" s="46">
        <f>IF('Resumo por Dia'!$A114="","",'Resumo por Dia'!$E114)</f>
        <v/>
      </c>
      <c r="D114" s="47">
        <f>IF('Resumo por Dia'!$A114="","",'Resumo por Dia'!$F114)</f>
        <v/>
      </c>
      <c r="E114" s="45">
        <f>IF('Resumo por Dia'!$A114="","",'Resumo por Dia'!$G114)</f>
        <v/>
      </c>
      <c r="F114" s="47">
        <f>IF('Resumo por Dia'!$A114="","",'Resumo por Dia'!$H114)</f>
        <v/>
      </c>
      <c r="G114" s="45">
        <f>IF('Resumo por Dia'!$A114="","",'Resumo por Dia'!$N114)</f>
        <v/>
      </c>
      <c r="H114" s="45">
        <f>IF('Resumo por Dia'!$A114="","",'Resumo por Dia'!$B114)</f>
        <v/>
      </c>
    </row>
    <row r="115">
      <c r="A115" s="44">
        <f>IF('Resumo por Dia'!$A115="","",'Resumo por Dia'!$A115)</f>
        <v/>
      </c>
      <c r="B115" s="45">
        <f>IF('Resumo por Dia'!$A115="","",'Resumo por Dia'!$D115)</f>
        <v/>
      </c>
      <c r="C115" s="46">
        <f>IF('Resumo por Dia'!$A115="","",'Resumo por Dia'!$E115)</f>
        <v/>
      </c>
      <c r="D115" s="47">
        <f>IF('Resumo por Dia'!$A115="","",'Resumo por Dia'!$F115)</f>
        <v/>
      </c>
      <c r="E115" s="45">
        <f>IF('Resumo por Dia'!$A115="","",'Resumo por Dia'!$G115)</f>
        <v/>
      </c>
      <c r="F115" s="47">
        <f>IF('Resumo por Dia'!$A115="","",'Resumo por Dia'!$H115)</f>
        <v/>
      </c>
      <c r="G115" s="45">
        <f>IF('Resumo por Dia'!$A115="","",'Resumo por Dia'!$N115)</f>
        <v/>
      </c>
      <c r="H115" s="45">
        <f>IF('Resumo por Dia'!$A115="","",'Resumo por Dia'!$B115)</f>
        <v/>
      </c>
    </row>
    <row r="116">
      <c r="A116" s="44">
        <f>IF('Resumo por Dia'!$A116="","",'Resumo por Dia'!$A116)</f>
        <v/>
      </c>
      <c r="B116" s="45">
        <f>IF('Resumo por Dia'!$A116="","",'Resumo por Dia'!$D116)</f>
        <v/>
      </c>
      <c r="C116" s="46">
        <f>IF('Resumo por Dia'!$A116="","",'Resumo por Dia'!$E116)</f>
        <v/>
      </c>
      <c r="D116" s="47">
        <f>IF('Resumo por Dia'!$A116="","",'Resumo por Dia'!$F116)</f>
        <v/>
      </c>
      <c r="E116" s="45">
        <f>IF('Resumo por Dia'!$A116="","",'Resumo por Dia'!$G116)</f>
        <v/>
      </c>
      <c r="F116" s="47">
        <f>IF('Resumo por Dia'!$A116="","",'Resumo por Dia'!$H116)</f>
        <v/>
      </c>
      <c r="G116" s="45">
        <f>IF('Resumo por Dia'!$A116="","",'Resumo por Dia'!$N116)</f>
        <v/>
      </c>
      <c r="H116" s="45">
        <f>IF('Resumo por Dia'!$A116="","",'Resumo por Dia'!$B116)</f>
        <v/>
      </c>
    </row>
    <row r="117">
      <c r="A117" s="44">
        <f>IF('Resumo por Dia'!$A117="","",'Resumo por Dia'!$A117)</f>
        <v/>
      </c>
      <c r="B117" s="45">
        <f>IF('Resumo por Dia'!$A117="","",'Resumo por Dia'!$D117)</f>
        <v/>
      </c>
      <c r="C117" s="46">
        <f>IF('Resumo por Dia'!$A117="","",'Resumo por Dia'!$E117)</f>
        <v/>
      </c>
      <c r="D117" s="47">
        <f>IF('Resumo por Dia'!$A117="","",'Resumo por Dia'!$F117)</f>
        <v/>
      </c>
      <c r="E117" s="45">
        <f>IF('Resumo por Dia'!$A117="","",'Resumo por Dia'!$G117)</f>
        <v/>
      </c>
      <c r="F117" s="47">
        <f>IF('Resumo por Dia'!$A117="","",'Resumo por Dia'!$H117)</f>
        <v/>
      </c>
      <c r="G117" s="45">
        <f>IF('Resumo por Dia'!$A117="","",'Resumo por Dia'!$N117)</f>
        <v/>
      </c>
      <c r="H117" s="45">
        <f>IF('Resumo por Dia'!$A117="","",'Resumo por Dia'!$B117)</f>
        <v/>
      </c>
    </row>
    <row r="118">
      <c r="A118" s="44">
        <f>IF('Resumo por Dia'!$A118="","",'Resumo por Dia'!$A118)</f>
        <v/>
      </c>
      <c r="B118" s="45">
        <f>IF('Resumo por Dia'!$A118="","",'Resumo por Dia'!$D118)</f>
        <v/>
      </c>
      <c r="C118" s="46">
        <f>IF('Resumo por Dia'!$A118="","",'Resumo por Dia'!$E118)</f>
        <v/>
      </c>
      <c r="D118" s="47">
        <f>IF('Resumo por Dia'!$A118="","",'Resumo por Dia'!$F118)</f>
        <v/>
      </c>
      <c r="E118" s="45">
        <f>IF('Resumo por Dia'!$A118="","",'Resumo por Dia'!$G118)</f>
        <v/>
      </c>
      <c r="F118" s="47">
        <f>IF('Resumo por Dia'!$A118="","",'Resumo por Dia'!$H118)</f>
        <v/>
      </c>
      <c r="G118" s="45">
        <f>IF('Resumo por Dia'!$A118="","",'Resumo por Dia'!$N118)</f>
        <v/>
      </c>
      <c r="H118" s="45">
        <f>IF('Resumo por Dia'!$A118="","",'Resumo por Dia'!$B118)</f>
        <v/>
      </c>
    </row>
    <row r="119">
      <c r="A119" s="44">
        <f>IF('Resumo por Dia'!$A119="","",'Resumo por Dia'!$A119)</f>
        <v/>
      </c>
      <c r="B119" s="45">
        <f>IF('Resumo por Dia'!$A119="","",'Resumo por Dia'!$D119)</f>
        <v/>
      </c>
      <c r="C119" s="46">
        <f>IF('Resumo por Dia'!$A119="","",'Resumo por Dia'!$E119)</f>
        <v/>
      </c>
      <c r="D119" s="47">
        <f>IF('Resumo por Dia'!$A119="","",'Resumo por Dia'!$F119)</f>
        <v/>
      </c>
      <c r="E119" s="45">
        <f>IF('Resumo por Dia'!$A119="","",'Resumo por Dia'!$G119)</f>
        <v/>
      </c>
      <c r="F119" s="47">
        <f>IF('Resumo por Dia'!$A119="","",'Resumo por Dia'!$H119)</f>
        <v/>
      </c>
      <c r="G119" s="45">
        <f>IF('Resumo por Dia'!$A119="","",'Resumo por Dia'!$N119)</f>
        <v/>
      </c>
      <c r="H119" s="45">
        <f>IF('Resumo por Dia'!$A119="","",'Resumo por Dia'!$B119)</f>
        <v/>
      </c>
    </row>
    <row r="120">
      <c r="A120" s="44">
        <f>IF('Resumo por Dia'!$A120="","",'Resumo por Dia'!$A120)</f>
        <v/>
      </c>
      <c r="B120" s="45">
        <f>IF('Resumo por Dia'!$A120="","",'Resumo por Dia'!$D120)</f>
        <v/>
      </c>
      <c r="C120" s="46">
        <f>IF('Resumo por Dia'!$A120="","",'Resumo por Dia'!$E120)</f>
        <v/>
      </c>
      <c r="D120" s="47">
        <f>IF('Resumo por Dia'!$A120="","",'Resumo por Dia'!$F120)</f>
        <v/>
      </c>
      <c r="E120" s="45">
        <f>IF('Resumo por Dia'!$A120="","",'Resumo por Dia'!$G120)</f>
        <v/>
      </c>
      <c r="F120" s="47">
        <f>IF('Resumo por Dia'!$A120="","",'Resumo por Dia'!$H120)</f>
        <v/>
      </c>
      <c r="G120" s="45">
        <f>IF('Resumo por Dia'!$A120="","",'Resumo por Dia'!$N120)</f>
        <v/>
      </c>
      <c r="H120" s="45">
        <f>IF('Resumo por Dia'!$A120="","",'Resumo por Dia'!$B120)</f>
        <v/>
      </c>
    </row>
    <row r="121">
      <c r="A121" s="44">
        <f>IF('Resumo por Dia'!$A121="","",'Resumo por Dia'!$A121)</f>
        <v/>
      </c>
      <c r="B121" s="45">
        <f>IF('Resumo por Dia'!$A121="","",'Resumo por Dia'!$D121)</f>
        <v/>
      </c>
      <c r="C121" s="46">
        <f>IF('Resumo por Dia'!$A121="","",'Resumo por Dia'!$E121)</f>
        <v/>
      </c>
      <c r="D121" s="47">
        <f>IF('Resumo por Dia'!$A121="","",'Resumo por Dia'!$F121)</f>
        <v/>
      </c>
      <c r="E121" s="45">
        <f>IF('Resumo por Dia'!$A121="","",'Resumo por Dia'!$G121)</f>
        <v/>
      </c>
      <c r="F121" s="47">
        <f>IF('Resumo por Dia'!$A121="","",'Resumo por Dia'!$H121)</f>
        <v/>
      </c>
      <c r="G121" s="45">
        <f>IF('Resumo por Dia'!$A121="","",'Resumo por Dia'!$N121)</f>
        <v/>
      </c>
      <c r="H121" s="45">
        <f>IF('Resumo por Dia'!$A121="","",'Resumo por Dia'!$B121)</f>
        <v/>
      </c>
    </row>
    <row r="122">
      <c r="A122" s="44">
        <f>IF('Resumo por Dia'!$A122="","",'Resumo por Dia'!$A122)</f>
        <v/>
      </c>
      <c r="B122" s="45">
        <f>IF('Resumo por Dia'!$A122="","",'Resumo por Dia'!$D122)</f>
        <v/>
      </c>
      <c r="C122" s="46">
        <f>IF('Resumo por Dia'!$A122="","",'Resumo por Dia'!$E122)</f>
        <v/>
      </c>
      <c r="D122" s="47">
        <f>IF('Resumo por Dia'!$A122="","",'Resumo por Dia'!$F122)</f>
        <v/>
      </c>
      <c r="E122" s="45">
        <f>IF('Resumo por Dia'!$A122="","",'Resumo por Dia'!$G122)</f>
        <v/>
      </c>
      <c r="F122" s="47">
        <f>IF('Resumo por Dia'!$A122="","",'Resumo por Dia'!$H122)</f>
        <v/>
      </c>
      <c r="G122" s="45">
        <f>IF('Resumo por Dia'!$A122="","",'Resumo por Dia'!$N122)</f>
        <v/>
      </c>
      <c r="H122" s="45">
        <f>IF('Resumo por Dia'!$A122="","",'Resumo por Dia'!$B122)</f>
        <v/>
      </c>
    </row>
    <row r="123">
      <c r="A123" s="44">
        <f>IF('Resumo por Dia'!$A123="","",'Resumo por Dia'!$A123)</f>
        <v/>
      </c>
      <c r="B123" s="45">
        <f>IF('Resumo por Dia'!$A123="","",'Resumo por Dia'!$D123)</f>
        <v/>
      </c>
      <c r="C123" s="46">
        <f>IF('Resumo por Dia'!$A123="","",'Resumo por Dia'!$E123)</f>
        <v/>
      </c>
      <c r="D123" s="47">
        <f>IF('Resumo por Dia'!$A123="","",'Resumo por Dia'!$F123)</f>
        <v/>
      </c>
      <c r="E123" s="45">
        <f>IF('Resumo por Dia'!$A123="","",'Resumo por Dia'!$G123)</f>
        <v/>
      </c>
      <c r="F123" s="47">
        <f>IF('Resumo por Dia'!$A123="","",'Resumo por Dia'!$H123)</f>
        <v/>
      </c>
      <c r="G123" s="45">
        <f>IF('Resumo por Dia'!$A123="","",'Resumo por Dia'!$N123)</f>
        <v/>
      </c>
      <c r="H123" s="45">
        <f>IF('Resumo por Dia'!$A123="","",'Resumo por Dia'!$B123)</f>
        <v/>
      </c>
    </row>
    <row r="124">
      <c r="A124" s="44">
        <f>IF('Resumo por Dia'!$A124="","",'Resumo por Dia'!$A124)</f>
        <v/>
      </c>
      <c r="B124" s="45">
        <f>IF('Resumo por Dia'!$A124="","",'Resumo por Dia'!$D124)</f>
        <v/>
      </c>
      <c r="C124" s="46">
        <f>IF('Resumo por Dia'!$A124="","",'Resumo por Dia'!$E124)</f>
        <v/>
      </c>
      <c r="D124" s="47">
        <f>IF('Resumo por Dia'!$A124="","",'Resumo por Dia'!$F124)</f>
        <v/>
      </c>
      <c r="E124" s="45">
        <f>IF('Resumo por Dia'!$A124="","",'Resumo por Dia'!$G124)</f>
        <v/>
      </c>
      <c r="F124" s="47">
        <f>IF('Resumo por Dia'!$A124="","",'Resumo por Dia'!$H124)</f>
        <v/>
      </c>
      <c r="G124" s="45">
        <f>IF('Resumo por Dia'!$A124="","",'Resumo por Dia'!$N124)</f>
        <v/>
      </c>
      <c r="H124" s="45">
        <f>IF('Resumo por Dia'!$A124="","",'Resumo por Dia'!$B124)</f>
        <v/>
      </c>
    </row>
    <row r="125">
      <c r="A125" s="44">
        <f>IF('Resumo por Dia'!$A125="","",'Resumo por Dia'!$A125)</f>
        <v/>
      </c>
      <c r="B125" s="45">
        <f>IF('Resumo por Dia'!$A125="","",'Resumo por Dia'!$D125)</f>
        <v/>
      </c>
      <c r="C125" s="46">
        <f>IF('Resumo por Dia'!$A125="","",'Resumo por Dia'!$E125)</f>
        <v/>
      </c>
      <c r="D125" s="47">
        <f>IF('Resumo por Dia'!$A125="","",'Resumo por Dia'!$F125)</f>
        <v/>
      </c>
      <c r="E125" s="45">
        <f>IF('Resumo por Dia'!$A125="","",'Resumo por Dia'!$G125)</f>
        <v/>
      </c>
      <c r="F125" s="47">
        <f>IF('Resumo por Dia'!$A125="","",'Resumo por Dia'!$H125)</f>
        <v/>
      </c>
      <c r="G125" s="45">
        <f>IF('Resumo por Dia'!$A125="","",'Resumo por Dia'!$N125)</f>
        <v/>
      </c>
      <c r="H125" s="45">
        <f>IF('Resumo por Dia'!$A125="","",'Resumo por Dia'!$B125)</f>
        <v/>
      </c>
    </row>
    <row r="126">
      <c r="A126" s="44">
        <f>IF('Resumo por Dia'!$A126="","",'Resumo por Dia'!$A126)</f>
        <v/>
      </c>
      <c r="B126" s="45">
        <f>IF('Resumo por Dia'!$A126="","",'Resumo por Dia'!$D126)</f>
        <v/>
      </c>
      <c r="C126" s="46">
        <f>IF('Resumo por Dia'!$A126="","",'Resumo por Dia'!$E126)</f>
        <v/>
      </c>
      <c r="D126" s="47">
        <f>IF('Resumo por Dia'!$A126="","",'Resumo por Dia'!$F126)</f>
        <v/>
      </c>
      <c r="E126" s="45">
        <f>IF('Resumo por Dia'!$A126="","",'Resumo por Dia'!$G126)</f>
        <v/>
      </c>
      <c r="F126" s="47">
        <f>IF('Resumo por Dia'!$A126="","",'Resumo por Dia'!$H126)</f>
        <v/>
      </c>
      <c r="G126" s="45">
        <f>IF('Resumo por Dia'!$A126="","",'Resumo por Dia'!$N126)</f>
        <v/>
      </c>
      <c r="H126" s="45">
        <f>IF('Resumo por Dia'!$A126="","",'Resumo por Dia'!$B126)</f>
        <v/>
      </c>
    </row>
    <row r="127">
      <c r="A127" s="44">
        <f>IF('Resumo por Dia'!$A127="","",'Resumo por Dia'!$A127)</f>
        <v/>
      </c>
      <c r="B127" s="45">
        <f>IF('Resumo por Dia'!$A127="","",'Resumo por Dia'!$D127)</f>
        <v/>
      </c>
      <c r="C127" s="46">
        <f>IF('Resumo por Dia'!$A127="","",'Resumo por Dia'!$E127)</f>
        <v/>
      </c>
      <c r="D127" s="47">
        <f>IF('Resumo por Dia'!$A127="","",'Resumo por Dia'!$F127)</f>
        <v/>
      </c>
      <c r="E127" s="45">
        <f>IF('Resumo por Dia'!$A127="","",'Resumo por Dia'!$G127)</f>
        <v/>
      </c>
      <c r="F127" s="47">
        <f>IF('Resumo por Dia'!$A127="","",'Resumo por Dia'!$H127)</f>
        <v/>
      </c>
      <c r="G127" s="45">
        <f>IF('Resumo por Dia'!$A127="","",'Resumo por Dia'!$N127)</f>
        <v/>
      </c>
      <c r="H127" s="45">
        <f>IF('Resumo por Dia'!$A127="","",'Resumo por Dia'!$B127)</f>
        <v/>
      </c>
    </row>
    <row r="128">
      <c r="A128" s="44">
        <f>IF('Resumo por Dia'!$A128="","",'Resumo por Dia'!$A128)</f>
        <v/>
      </c>
      <c r="B128" s="45">
        <f>IF('Resumo por Dia'!$A128="","",'Resumo por Dia'!$D128)</f>
        <v/>
      </c>
      <c r="C128" s="46">
        <f>IF('Resumo por Dia'!$A128="","",'Resumo por Dia'!$E128)</f>
        <v/>
      </c>
      <c r="D128" s="47">
        <f>IF('Resumo por Dia'!$A128="","",'Resumo por Dia'!$F128)</f>
        <v/>
      </c>
      <c r="E128" s="45">
        <f>IF('Resumo por Dia'!$A128="","",'Resumo por Dia'!$G128)</f>
        <v/>
      </c>
      <c r="F128" s="47">
        <f>IF('Resumo por Dia'!$A128="","",'Resumo por Dia'!$H128)</f>
        <v/>
      </c>
      <c r="G128" s="45">
        <f>IF('Resumo por Dia'!$A128="","",'Resumo por Dia'!$N128)</f>
        <v/>
      </c>
      <c r="H128" s="45">
        <f>IF('Resumo por Dia'!$A128="","",'Resumo por Dia'!$B128)</f>
        <v/>
      </c>
    </row>
    <row r="129">
      <c r="A129" s="44">
        <f>IF('Resumo por Dia'!$A129="","",'Resumo por Dia'!$A129)</f>
        <v/>
      </c>
      <c r="B129" s="45">
        <f>IF('Resumo por Dia'!$A129="","",'Resumo por Dia'!$D129)</f>
        <v/>
      </c>
      <c r="C129" s="46">
        <f>IF('Resumo por Dia'!$A129="","",'Resumo por Dia'!$E129)</f>
        <v/>
      </c>
      <c r="D129" s="47">
        <f>IF('Resumo por Dia'!$A129="","",'Resumo por Dia'!$F129)</f>
        <v/>
      </c>
      <c r="E129" s="45">
        <f>IF('Resumo por Dia'!$A129="","",'Resumo por Dia'!$G129)</f>
        <v/>
      </c>
      <c r="F129" s="47">
        <f>IF('Resumo por Dia'!$A129="","",'Resumo por Dia'!$H129)</f>
        <v/>
      </c>
      <c r="G129" s="45">
        <f>IF('Resumo por Dia'!$A129="","",'Resumo por Dia'!$N129)</f>
        <v/>
      </c>
      <c r="H129" s="45">
        <f>IF('Resumo por Dia'!$A129="","",'Resumo por Dia'!$B129)</f>
        <v/>
      </c>
    </row>
    <row r="130">
      <c r="A130" s="44">
        <f>IF('Resumo por Dia'!$A130="","",'Resumo por Dia'!$A130)</f>
        <v/>
      </c>
      <c r="B130" s="45">
        <f>IF('Resumo por Dia'!$A130="","",'Resumo por Dia'!$D130)</f>
        <v/>
      </c>
      <c r="C130" s="46">
        <f>IF('Resumo por Dia'!$A130="","",'Resumo por Dia'!$E130)</f>
        <v/>
      </c>
      <c r="D130" s="47">
        <f>IF('Resumo por Dia'!$A130="","",'Resumo por Dia'!$F130)</f>
        <v/>
      </c>
      <c r="E130" s="45">
        <f>IF('Resumo por Dia'!$A130="","",'Resumo por Dia'!$G130)</f>
        <v/>
      </c>
      <c r="F130" s="47">
        <f>IF('Resumo por Dia'!$A130="","",'Resumo por Dia'!$H130)</f>
        <v/>
      </c>
      <c r="G130" s="45">
        <f>IF('Resumo por Dia'!$A130="","",'Resumo por Dia'!$N130)</f>
        <v/>
      </c>
      <c r="H130" s="45">
        <f>IF('Resumo por Dia'!$A130="","",'Resumo por Dia'!$B130)</f>
        <v/>
      </c>
    </row>
    <row r="131">
      <c r="A131" s="44">
        <f>IF('Resumo por Dia'!$A131="","",'Resumo por Dia'!$A131)</f>
        <v/>
      </c>
      <c r="B131" s="45">
        <f>IF('Resumo por Dia'!$A131="","",'Resumo por Dia'!$D131)</f>
        <v/>
      </c>
      <c r="C131" s="46">
        <f>IF('Resumo por Dia'!$A131="","",'Resumo por Dia'!$E131)</f>
        <v/>
      </c>
      <c r="D131" s="47">
        <f>IF('Resumo por Dia'!$A131="","",'Resumo por Dia'!$F131)</f>
        <v/>
      </c>
      <c r="E131" s="45">
        <f>IF('Resumo por Dia'!$A131="","",'Resumo por Dia'!$G131)</f>
        <v/>
      </c>
      <c r="F131" s="47">
        <f>IF('Resumo por Dia'!$A131="","",'Resumo por Dia'!$H131)</f>
        <v/>
      </c>
      <c r="G131" s="45">
        <f>IF('Resumo por Dia'!$A131="","",'Resumo por Dia'!$N131)</f>
        <v/>
      </c>
      <c r="H131" s="45">
        <f>IF('Resumo por Dia'!$A131="","",'Resumo por Dia'!$B131)</f>
        <v/>
      </c>
    </row>
    <row r="132">
      <c r="A132" s="44">
        <f>IF('Resumo por Dia'!$A132="","",'Resumo por Dia'!$A132)</f>
        <v/>
      </c>
      <c r="B132" s="45">
        <f>IF('Resumo por Dia'!$A132="","",'Resumo por Dia'!$D132)</f>
        <v/>
      </c>
      <c r="C132" s="46">
        <f>IF('Resumo por Dia'!$A132="","",'Resumo por Dia'!$E132)</f>
        <v/>
      </c>
      <c r="D132" s="47">
        <f>IF('Resumo por Dia'!$A132="","",'Resumo por Dia'!$F132)</f>
        <v/>
      </c>
      <c r="E132" s="45">
        <f>IF('Resumo por Dia'!$A132="","",'Resumo por Dia'!$G132)</f>
        <v/>
      </c>
      <c r="F132" s="47">
        <f>IF('Resumo por Dia'!$A132="","",'Resumo por Dia'!$H132)</f>
        <v/>
      </c>
      <c r="G132" s="45">
        <f>IF('Resumo por Dia'!$A132="","",'Resumo por Dia'!$N132)</f>
        <v/>
      </c>
      <c r="H132" s="45">
        <f>IF('Resumo por Dia'!$A132="","",'Resumo por Dia'!$B132)</f>
        <v/>
      </c>
    </row>
    <row r="133">
      <c r="A133" s="44">
        <f>IF('Resumo por Dia'!$A133="","",'Resumo por Dia'!$A133)</f>
        <v/>
      </c>
      <c r="B133" s="45">
        <f>IF('Resumo por Dia'!$A133="","",'Resumo por Dia'!$D133)</f>
        <v/>
      </c>
      <c r="C133" s="46">
        <f>IF('Resumo por Dia'!$A133="","",'Resumo por Dia'!$E133)</f>
        <v/>
      </c>
      <c r="D133" s="47">
        <f>IF('Resumo por Dia'!$A133="","",'Resumo por Dia'!$F133)</f>
        <v/>
      </c>
      <c r="E133" s="45">
        <f>IF('Resumo por Dia'!$A133="","",'Resumo por Dia'!$G133)</f>
        <v/>
      </c>
      <c r="F133" s="47">
        <f>IF('Resumo por Dia'!$A133="","",'Resumo por Dia'!$H133)</f>
        <v/>
      </c>
      <c r="G133" s="45">
        <f>IF('Resumo por Dia'!$A133="","",'Resumo por Dia'!$N133)</f>
        <v/>
      </c>
      <c r="H133" s="45">
        <f>IF('Resumo por Dia'!$A133="","",'Resumo por Dia'!$B133)</f>
        <v/>
      </c>
    </row>
    <row r="134">
      <c r="A134" s="44">
        <f>IF('Resumo por Dia'!$A134="","",'Resumo por Dia'!$A134)</f>
        <v/>
      </c>
      <c r="B134" s="45">
        <f>IF('Resumo por Dia'!$A134="","",'Resumo por Dia'!$D134)</f>
        <v/>
      </c>
      <c r="C134" s="46">
        <f>IF('Resumo por Dia'!$A134="","",'Resumo por Dia'!$E134)</f>
        <v/>
      </c>
      <c r="D134" s="47">
        <f>IF('Resumo por Dia'!$A134="","",'Resumo por Dia'!$F134)</f>
        <v/>
      </c>
      <c r="E134" s="45">
        <f>IF('Resumo por Dia'!$A134="","",'Resumo por Dia'!$G134)</f>
        <v/>
      </c>
      <c r="F134" s="47">
        <f>IF('Resumo por Dia'!$A134="","",'Resumo por Dia'!$H134)</f>
        <v/>
      </c>
      <c r="G134" s="45">
        <f>IF('Resumo por Dia'!$A134="","",'Resumo por Dia'!$N134)</f>
        <v/>
      </c>
      <c r="H134" s="45">
        <f>IF('Resumo por Dia'!$A134="","",'Resumo por Dia'!$B134)</f>
        <v/>
      </c>
    </row>
    <row r="135">
      <c r="A135" s="44">
        <f>IF('Resumo por Dia'!$A135="","",'Resumo por Dia'!$A135)</f>
        <v/>
      </c>
      <c r="B135" s="45">
        <f>IF('Resumo por Dia'!$A135="","",'Resumo por Dia'!$D135)</f>
        <v/>
      </c>
      <c r="C135" s="46">
        <f>IF('Resumo por Dia'!$A135="","",'Resumo por Dia'!$E135)</f>
        <v/>
      </c>
      <c r="D135" s="47">
        <f>IF('Resumo por Dia'!$A135="","",'Resumo por Dia'!$F135)</f>
        <v/>
      </c>
      <c r="E135" s="45">
        <f>IF('Resumo por Dia'!$A135="","",'Resumo por Dia'!$G135)</f>
        <v/>
      </c>
      <c r="F135" s="47">
        <f>IF('Resumo por Dia'!$A135="","",'Resumo por Dia'!$H135)</f>
        <v/>
      </c>
      <c r="G135" s="45">
        <f>IF('Resumo por Dia'!$A135="","",'Resumo por Dia'!$N135)</f>
        <v/>
      </c>
      <c r="H135" s="45">
        <f>IF('Resumo por Dia'!$A135="","",'Resumo por Dia'!$B135)</f>
        <v/>
      </c>
    </row>
    <row r="136">
      <c r="A136" s="44">
        <f>IF('Resumo por Dia'!$A136="","",'Resumo por Dia'!$A136)</f>
        <v/>
      </c>
      <c r="B136" s="45">
        <f>IF('Resumo por Dia'!$A136="","",'Resumo por Dia'!$D136)</f>
        <v/>
      </c>
      <c r="C136" s="46">
        <f>IF('Resumo por Dia'!$A136="","",'Resumo por Dia'!$E136)</f>
        <v/>
      </c>
      <c r="D136" s="47">
        <f>IF('Resumo por Dia'!$A136="","",'Resumo por Dia'!$F136)</f>
        <v/>
      </c>
      <c r="E136" s="45">
        <f>IF('Resumo por Dia'!$A136="","",'Resumo por Dia'!$G136)</f>
        <v/>
      </c>
      <c r="F136" s="47">
        <f>IF('Resumo por Dia'!$A136="","",'Resumo por Dia'!$H136)</f>
        <v/>
      </c>
      <c r="G136" s="45">
        <f>IF('Resumo por Dia'!$A136="","",'Resumo por Dia'!$N136)</f>
        <v/>
      </c>
      <c r="H136" s="45">
        <f>IF('Resumo por Dia'!$A136="","",'Resumo por Dia'!$B136)</f>
        <v/>
      </c>
    </row>
    <row r="137">
      <c r="A137" s="44">
        <f>IF('Resumo por Dia'!$A137="","",'Resumo por Dia'!$A137)</f>
        <v/>
      </c>
      <c r="B137" s="45">
        <f>IF('Resumo por Dia'!$A137="","",'Resumo por Dia'!$D137)</f>
        <v/>
      </c>
      <c r="C137" s="46">
        <f>IF('Resumo por Dia'!$A137="","",'Resumo por Dia'!$E137)</f>
        <v/>
      </c>
      <c r="D137" s="47">
        <f>IF('Resumo por Dia'!$A137="","",'Resumo por Dia'!$F137)</f>
        <v/>
      </c>
      <c r="E137" s="45">
        <f>IF('Resumo por Dia'!$A137="","",'Resumo por Dia'!$G137)</f>
        <v/>
      </c>
      <c r="F137" s="47">
        <f>IF('Resumo por Dia'!$A137="","",'Resumo por Dia'!$H137)</f>
        <v/>
      </c>
      <c r="G137" s="45">
        <f>IF('Resumo por Dia'!$A137="","",'Resumo por Dia'!$N137)</f>
        <v/>
      </c>
      <c r="H137" s="45">
        <f>IF('Resumo por Dia'!$A137="","",'Resumo por Dia'!$B137)</f>
        <v/>
      </c>
    </row>
    <row r="138">
      <c r="A138" s="44">
        <f>IF('Resumo por Dia'!$A138="","",'Resumo por Dia'!$A138)</f>
        <v/>
      </c>
      <c r="B138" s="45">
        <f>IF('Resumo por Dia'!$A138="","",'Resumo por Dia'!$D138)</f>
        <v/>
      </c>
      <c r="C138" s="46">
        <f>IF('Resumo por Dia'!$A138="","",'Resumo por Dia'!$E138)</f>
        <v/>
      </c>
      <c r="D138" s="47">
        <f>IF('Resumo por Dia'!$A138="","",'Resumo por Dia'!$F138)</f>
        <v/>
      </c>
      <c r="E138" s="45">
        <f>IF('Resumo por Dia'!$A138="","",'Resumo por Dia'!$G138)</f>
        <v/>
      </c>
      <c r="F138" s="47">
        <f>IF('Resumo por Dia'!$A138="","",'Resumo por Dia'!$H138)</f>
        <v/>
      </c>
      <c r="G138" s="45">
        <f>IF('Resumo por Dia'!$A138="","",'Resumo por Dia'!$N138)</f>
        <v/>
      </c>
      <c r="H138" s="45">
        <f>IF('Resumo por Dia'!$A138="","",'Resumo por Dia'!$B138)</f>
        <v/>
      </c>
    </row>
    <row r="139">
      <c r="A139" s="44">
        <f>IF('Resumo por Dia'!$A139="","",'Resumo por Dia'!$A139)</f>
        <v/>
      </c>
      <c r="B139" s="45">
        <f>IF('Resumo por Dia'!$A139="","",'Resumo por Dia'!$D139)</f>
        <v/>
      </c>
      <c r="C139" s="46">
        <f>IF('Resumo por Dia'!$A139="","",'Resumo por Dia'!$E139)</f>
        <v/>
      </c>
      <c r="D139" s="47">
        <f>IF('Resumo por Dia'!$A139="","",'Resumo por Dia'!$F139)</f>
        <v/>
      </c>
      <c r="E139" s="45">
        <f>IF('Resumo por Dia'!$A139="","",'Resumo por Dia'!$G139)</f>
        <v/>
      </c>
      <c r="F139" s="47">
        <f>IF('Resumo por Dia'!$A139="","",'Resumo por Dia'!$H139)</f>
        <v/>
      </c>
      <c r="G139" s="45">
        <f>IF('Resumo por Dia'!$A139="","",'Resumo por Dia'!$N139)</f>
        <v/>
      </c>
      <c r="H139" s="45">
        <f>IF('Resumo por Dia'!$A139="","",'Resumo por Dia'!$B139)</f>
        <v/>
      </c>
    </row>
    <row r="140">
      <c r="A140" s="44">
        <f>IF('Resumo por Dia'!$A140="","",'Resumo por Dia'!$A140)</f>
        <v/>
      </c>
      <c r="B140" s="45">
        <f>IF('Resumo por Dia'!$A140="","",'Resumo por Dia'!$D140)</f>
        <v/>
      </c>
      <c r="C140" s="46">
        <f>IF('Resumo por Dia'!$A140="","",'Resumo por Dia'!$E140)</f>
        <v/>
      </c>
      <c r="D140" s="47">
        <f>IF('Resumo por Dia'!$A140="","",'Resumo por Dia'!$F140)</f>
        <v/>
      </c>
      <c r="E140" s="45">
        <f>IF('Resumo por Dia'!$A140="","",'Resumo por Dia'!$G140)</f>
        <v/>
      </c>
      <c r="F140" s="47">
        <f>IF('Resumo por Dia'!$A140="","",'Resumo por Dia'!$H140)</f>
        <v/>
      </c>
      <c r="G140" s="45">
        <f>IF('Resumo por Dia'!$A140="","",'Resumo por Dia'!$N140)</f>
        <v/>
      </c>
      <c r="H140" s="45">
        <f>IF('Resumo por Dia'!$A140="","",'Resumo por Dia'!$B140)</f>
        <v/>
      </c>
    </row>
    <row r="141">
      <c r="A141" s="44">
        <f>IF('Resumo por Dia'!$A141="","",'Resumo por Dia'!$A141)</f>
        <v/>
      </c>
      <c r="B141" s="45">
        <f>IF('Resumo por Dia'!$A141="","",'Resumo por Dia'!$D141)</f>
        <v/>
      </c>
      <c r="C141" s="46">
        <f>IF('Resumo por Dia'!$A141="","",'Resumo por Dia'!$E141)</f>
        <v/>
      </c>
      <c r="D141" s="47">
        <f>IF('Resumo por Dia'!$A141="","",'Resumo por Dia'!$F141)</f>
        <v/>
      </c>
      <c r="E141" s="45">
        <f>IF('Resumo por Dia'!$A141="","",'Resumo por Dia'!$G141)</f>
        <v/>
      </c>
      <c r="F141" s="47">
        <f>IF('Resumo por Dia'!$A141="","",'Resumo por Dia'!$H141)</f>
        <v/>
      </c>
      <c r="G141" s="45">
        <f>IF('Resumo por Dia'!$A141="","",'Resumo por Dia'!$N141)</f>
        <v/>
      </c>
      <c r="H141" s="45">
        <f>IF('Resumo por Dia'!$A141="","",'Resumo por Dia'!$B141)</f>
        <v/>
      </c>
    </row>
    <row r="142">
      <c r="A142" s="44">
        <f>IF('Resumo por Dia'!$A142="","",'Resumo por Dia'!$A142)</f>
        <v/>
      </c>
      <c r="B142" s="45">
        <f>IF('Resumo por Dia'!$A142="","",'Resumo por Dia'!$D142)</f>
        <v/>
      </c>
      <c r="C142" s="46">
        <f>IF('Resumo por Dia'!$A142="","",'Resumo por Dia'!$E142)</f>
        <v/>
      </c>
      <c r="D142" s="47">
        <f>IF('Resumo por Dia'!$A142="","",'Resumo por Dia'!$F142)</f>
        <v/>
      </c>
      <c r="E142" s="45">
        <f>IF('Resumo por Dia'!$A142="","",'Resumo por Dia'!$G142)</f>
        <v/>
      </c>
      <c r="F142" s="47">
        <f>IF('Resumo por Dia'!$A142="","",'Resumo por Dia'!$H142)</f>
        <v/>
      </c>
      <c r="G142" s="45">
        <f>IF('Resumo por Dia'!$A142="","",'Resumo por Dia'!$N142)</f>
        <v/>
      </c>
      <c r="H142" s="45">
        <f>IF('Resumo por Dia'!$A142="","",'Resumo por Dia'!$B142)</f>
        <v/>
      </c>
    </row>
    <row r="143">
      <c r="A143" s="44">
        <f>IF('Resumo por Dia'!$A143="","",'Resumo por Dia'!$A143)</f>
        <v/>
      </c>
      <c r="B143" s="45">
        <f>IF('Resumo por Dia'!$A143="","",'Resumo por Dia'!$D143)</f>
        <v/>
      </c>
      <c r="C143" s="46">
        <f>IF('Resumo por Dia'!$A143="","",'Resumo por Dia'!$E143)</f>
        <v/>
      </c>
      <c r="D143" s="47">
        <f>IF('Resumo por Dia'!$A143="","",'Resumo por Dia'!$F143)</f>
        <v/>
      </c>
      <c r="E143" s="45">
        <f>IF('Resumo por Dia'!$A143="","",'Resumo por Dia'!$G143)</f>
        <v/>
      </c>
      <c r="F143" s="47">
        <f>IF('Resumo por Dia'!$A143="","",'Resumo por Dia'!$H143)</f>
        <v/>
      </c>
      <c r="G143" s="45">
        <f>IF('Resumo por Dia'!$A143="","",'Resumo por Dia'!$N143)</f>
        <v/>
      </c>
      <c r="H143" s="45">
        <f>IF('Resumo por Dia'!$A143="","",'Resumo por Dia'!$B143)</f>
        <v/>
      </c>
    </row>
    <row r="144">
      <c r="A144" s="44">
        <f>IF('Resumo por Dia'!$A144="","",'Resumo por Dia'!$A144)</f>
        <v/>
      </c>
      <c r="B144" s="45">
        <f>IF('Resumo por Dia'!$A144="","",'Resumo por Dia'!$D144)</f>
        <v/>
      </c>
      <c r="C144" s="46">
        <f>IF('Resumo por Dia'!$A144="","",'Resumo por Dia'!$E144)</f>
        <v/>
      </c>
      <c r="D144" s="47">
        <f>IF('Resumo por Dia'!$A144="","",'Resumo por Dia'!$F144)</f>
        <v/>
      </c>
      <c r="E144" s="45">
        <f>IF('Resumo por Dia'!$A144="","",'Resumo por Dia'!$G144)</f>
        <v/>
      </c>
      <c r="F144" s="47">
        <f>IF('Resumo por Dia'!$A144="","",'Resumo por Dia'!$H144)</f>
        <v/>
      </c>
      <c r="G144" s="45">
        <f>IF('Resumo por Dia'!$A144="","",'Resumo por Dia'!$N144)</f>
        <v/>
      </c>
      <c r="H144" s="45">
        <f>IF('Resumo por Dia'!$A144="","",'Resumo por Dia'!$B144)</f>
        <v/>
      </c>
    </row>
    <row r="145">
      <c r="A145" s="44">
        <f>IF('Resumo por Dia'!$A145="","",'Resumo por Dia'!$A145)</f>
        <v/>
      </c>
      <c r="B145" s="45">
        <f>IF('Resumo por Dia'!$A145="","",'Resumo por Dia'!$D145)</f>
        <v/>
      </c>
      <c r="C145" s="46">
        <f>IF('Resumo por Dia'!$A145="","",'Resumo por Dia'!$E145)</f>
        <v/>
      </c>
      <c r="D145" s="47">
        <f>IF('Resumo por Dia'!$A145="","",'Resumo por Dia'!$F145)</f>
        <v/>
      </c>
      <c r="E145" s="45">
        <f>IF('Resumo por Dia'!$A145="","",'Resumo por Dia'!$G145)</f>
        <v/>
      </c>
      <c r="F145" s="47">
        <f>IF('Resumo por Dia'!$A145="","",'Resumo por Dia'!$H145)</f>
        <v/>
      </c>
      <c r="G145" s="45">
        <f>IF('Resumo por Dia'!$A145="","",'Resumo por Dia'!$N145)</f>
        <v/>
      </c>
      <c r="H145" s="45">
        <f>IF('Resumo por Dia'!$A145="","",'Resumo por Dia'!$B145)</f>
        <v/>
      </c>
    </row>
    <row r="146">
      <c r="A146" s="44">
        <f>IF('Resumo por Dia'!$A146="","",'Resumo por Dia'!$A146)</f>
        <v/>
      </c>
      <c r="B146" s="45">
        <f>IF('Resumo por Dia'!$A146="","",'Resumo por Dia'!$D146)</f>
        <v/>
      </c>
      <c r="C146" s="46">
        <f>IF('Resumo por Dia'!$A146="","",'Resumo por Dia'!$E146)</f>
        <v/>
      </c>
      <c r="D146" s="47">
        <f>IF('Resumo por Dia'!$A146="","",'Resumo por Dia'!$F146)</f>
        <v/>
      </c>
      <c r="E146" s="45">
        <f>IF('Resumo por Dia'!$A146="","",'Resumo por Dia'!$G146)</f>
        <v/>
      </c>
      <c r="F146" s="47">
        <f>IF('Resumo por Dia'!$A146="","",'Resumo por Dia'!$H146)</f>
        <v/>
      </c>
      <c r="G146" s="45">
        <f>IF('Resumo por Dia'!$A146="","",'Resumo por Dia'!$N146)</f>
        <v/>
      </c>
      <c r="H146" s="45">
        <f>IF('Resumo por Dia'!$A146="","",'Resumo por Dia'!$B146)</f>
        <v/>
      </c>
    </row>
    <row r="147">
      <c r="A147" s="44">
        <f>IF('Resumo por Dia'!$A147="","",'Resumo por Dia'!$A147)</f>
        <v/>
      </c>
      <c r="B147" s="45">
        <f>IF('Resumo por Dia'!$A147="","",'Resumo por Dia'!$D147)</f>
        <v/>
      </c>
      <c r="C147" s="46">
        <f>IF('Resumo por Dia'!$A147="","",'Resumo por Dia'!$E147)</f>
        <v/>
      </c>
      <c r="D147" s="47">
        <f>IF('Resumo por Dia'!$A147="","",'Resumo por Dia'!$F147)</f>
        <v/>
      </c>
      <c r="E147" s="45">
        <f>IF('Resumo por Dia'!$A147="","",'Resumo por Dia'!$G147)</f>
        <v/>
      </c>
      <c r="F147" s="47">
        <f>IF('Resumo por Dia'!$A147="","",'Resumo por Dia'!$H147)</f>
        <v/>
      </c>
      <c r="G147" s="45">
        <f>IF('Resumo por Dia'!$A147="","",'Resumo por Dia'!$N147)</f>
        <v/>
      </c>
      <c r="H147" s="45">
        <f>IF('Resumo por Dia'!$A147="","",'Resumo por Dia'!$B147)</f>
        <v/>
      </c>
    </row>
    <row r="148">
      <c r="A148" s="44">
        <f>IF('Resumo por Dia'!$A148="","",'Resumo por Dia'!$A148)</f>
        <v/>
      </c>
      <c r="B148" s="45">
        <f>IF('Resumo por Dia'!$A148="","",'Resumo por Dia'!$D148)</f>
        <v/>
      </c>
      <c r="C148" s="46">
        <f>IF('Resumo por Dia'!$A148="","",'Resumo por Dia'!$E148)</f>
        <v/>
      </c>
      <c r="D148" s="47">
        <f>IF('Resumo por Dia'!$A148="","",'Resumo por Dia'!$F148)</f>
        <v/>
      </c>
      <c r="E148" s="45">
        <f>IF('Resumo por Dia'!$A148="","",'Resumo por Dia'!$G148)</f>
        <v/>
      </c>
      <c r="F148" s="47">
        <f>IF('Resumo por Dia'!$A148="","",'Resumo por Dia'!$H148)</f>
        <v/>
      </c>
      <c r="G148" s="45">
        <f>IF('Resumo por Dia'!$A148="","",'Resumo por Dia'!$N148)</f>
        <v/>
      </c>
      <c r="H148" s="45">
        <f>IF('Resumo por Dia'!$A148="","",'Resumo por Dia'!$B148)</f>
        <v/>
      </c>
    </row>
    <row r="149">
      <c r="A149" s="44">
        <f>IF('Resumo por Dia'!$A149="","",'Resumo por Dia'!$A149)</f>
        <v/>
      </c>
      <c r="B149" s="45">
        <f>IF('Resumo por Dia'!$A149="","",'Resumo por Dia'!$D149)</f>
        <v/>
      </c>
      <c r="C149" s="46">
        <f>IF('Resumo por Dia'!$A149="","",'Resumo por Dia'!$E149)</f>
        <v/>
      </c>
      <c r="D149" s="47">
        <f>IF('Resumo por Dia'!$A149="","",'Resumo por Dia'!$F149)</f>
        <v/>
      </c>
      <c r="E149" s="45">
        <f>IF('Resumo por Dia'!$A149="","",'Resumo por Dia'!$G149)</f>
        <v/>
      </c>
      <c r="F149" s="47">
        <f>IF('Resumo por Dia'!$A149="","",'Resumo por Dia'!$H149)</f>
        <v/>
      </c>
      <c r="G149" s="45">
        <f>IF('Resumo por Dia'!$A149="","",'Resumo por Dia'!$N149)</f>
        <v/>
      </c>
      <c r="H149" s="45">
        <f>IF('Resumo por Dia'!$A149="","",'Resumo por Dia'!$B149)</f>
        <v/>
      </c>
    </row>
    <row r="150">
      <c r="A150" s="44">
        <f>IF('Resumo por Dia'!$A150="","",'Resumo por Dia'!$A150)</f>
        <v/>
      </c>
      <c r="B150" s="45">
        <f>IF('Resumo por Dia'!$A150="","",'Resumo por Dia'!$D150)</f>
        <v/>
      </c>
      <c r="C150" s="46">
        <f>IF('Resumo por Dia'!$A150="","",'Resumo por Dia'!$E150)</f>
        <v/>
      </c>
      <c r="D150" s="47">
        <f>IF('Resumo por Dia'!$A150="","",'Resumo por Dia'!$F150)</f>
        <v/>
      </c>
      <c r="E150" s="45">
        <f>IF('Resumo por Dia'!$A150="","",'Resumo por Dia'!$G150)</f>
        <v/>
      </c>
      <c r="F150" s="47">
        <f>IF('Resumo por Dia'!$A150="","",'Resumo por Dia'!$H150)</f>
        <v/>
      </c>
      <c r="G150" s="45">
        <f>IF('Resumo por Dia'!$A150="","",'Resumo por Dia'!$N150)</f>
        <v/>
      </c>
      <c r="H150" s="45">
        <f>IF('Resumo por Dia'!$A150="","",'Resumo por Dia'!$B150)</f>
        <v/>
      </c>
    </row>
    <row r="151">
      <c r="A151" s="44">
        <f>IF('Resumo por Dia'!$A151="","",'Resumo por Dia'!$A151)</f>
        <v/>
      </c>
      <c r="B151" s="45">
        <f>IF('Resumo por Dia'!$A151="","",'Resumo por Dia'!$D151)</f>
        <v/>
      </c>
      <c r="C151" s="46">
        <f>IF('Resumo por Dia'!$A151="","",'Resumo por Dia'!$E151)</f>
        <v/>
      </c>
      <c r="D151" s="47">
        <f>IF('Resumo por Dia'!$A151="","",'Resumo por Dia'!$F151)</f>
        <v/>
      </c>
      <c r="E151" s="45">
        <f>IF('Resumo por Dia'!$A151="","",'Resumo por Dia'!$G151)</f>
        <v/>
      </c>
      <c r="F151" s="47">
        <f>IF('Resumo por Dia'!$A151="","",'Resumo por Dia'!$H151)</f>
        <v/>
      </c>
      <c r="G151" s="45">
        <f>IF('Resumo por Dia'!$A151="","",'Resumo por Dia'!$N151)</f>
        <v/>
      </c>
      <c r="H151" s="45">
        <f>IF('Resumo por Dia'!$A151="","",'Resumo por Dia'!$B151)</f>
        <v/>
      </c>
    </row>
    <row r="152">
      <c r="A152" s="44">
        <f>IF('Resumo por Dia'!$A152="","",'Resumo por Dia'!$A152)</f>
        <v/>
      </c>
      <c r="B152" s="45">
        <f>IF('Resumo por Dia'!$A152="","",'Resumo por Dia'!$D152)</f>
        <v/>
      </c>
      <c r="C152" s="46">
        <f>IF('Resumo por Dia'!$A152="","",'Resumo por Dia'!$E152)</f>
        <v/>
      </c>
      <c r="D152" s="47">
        <f>IF('Resumo por Dia'!$A152="","",'Resumo por Dia'!$F152)</f>
        <v/>
      </c>
      <c r="E152" s="45">
        <f>IF('Resumo por Dia'!$A152="","",'Resumo por Dia'!$G152)</f>
        <v/>
      </c>
      <c r="F152" s="47">
        <f>IF('Resumo por Dia'!$A152="","",'Resumo por Dia'!$H152)</f>
        <v/>
      </c>
      <c r="G152" s="45">
        <f>IF('Resumo por Dia'!$A152="","",'Resumo por Dia'!$N152)</f>
        <v/>
      </c>
      <c r="H152" s="45">
        <f>IF('Resumo por Dia'!$A152="","",'Resumo por Dia'!$B152)</f>
        <v/>
      </c>
    </row>
    <row r="153">
      <c r="A153" s="44">
        <f>IF('Resumo por Dia'!$A153="","",'Resumo por Dia'!$A153)</f>
        <v/>
      </c>
      <c r="B153" s="45">
        <f>IF('Resumo por Dia'!$A153="","",'Resumo por Dia'!$D153)</f>
        <v/>
      </c>
      <c r="C153" s="46">
        <f>IF('Resumo por Dia'!$A153="","",'Resumo por Dia'!$E153)</f>
        <v/>
      </c>
      <c r="D153" s="47">
        <f>IF('Resumo por Dia'!$A153="","",'Resumo por Dia'!$F153)</f>
        <v/>
      </c>
      <c r="E153" s="45">
        <f>IF('Resumo por Dia'!$A153="","",'Resumo por Dia'!$G153)</f>
        <v/>
      </c>
      <c r="F153" s="47">
        <f>IF('Resumo por Dia'!$A153="","",'Resumo por Dia'!$H153)</f>
        <v/>
      </c>
      <c r="G153" s="45">
        <f>IF('Resumo por Dia'!$A153="","",'Resumo por Dia'!$N153)</f>
        <v/>
      </c>
      <c r="H153" s="45">
        <f>IF('Resumo por Dia'!$A153="","",'Resumo por Dia'!$B153)</f>
        <v/>
      </c>
    </row>
    <row r="154">
      <c r="A154" s="44">
        <f>IF('Resumo por Dia'!$A154="","",'Resumo por Dia'!$A154)</f>
        <v/>
      </c>
      <c r="B154" s="45">
        <f>IF('Resumo por Dia'!$A154="","",'Resumo por Dia'!$D154)</f>
        <v/>
      </c>
      <c r="C154" s="46">
        <f>IF('Resumo por Dia'!$A154="","",'Resumo por Dia'!$E154)</f>
        <v/>
      </c>
      <c r="D154" s="47">
        <f>IF('Resumo por Dia'!$A154="","",'Resumo por Dia'!$F154)</f>
        <v/>
      </c>
      <c r="E154" s="45">
        <f>IF('Resumo por Dia'!$A154="","",'Resumo por Dia'!$G154)</f>
        <v/>
      </c>
      <c r="F154" s="47">
        <f>IF('Resumo por Dia'!$A154="","",'Resumo por Dia'!$H154)</f>
        <v/>
      </c>
      <c r="G154" s="45">
        <f>IF('Resumo por Dia'!$A154="","",'Resumo por Dia'!$N154)</f>
        <v/>
      </c>
      <c r="H154" s="45">
        <f>IF('Resumo por Dia'!$A154="","",'Resumo por Dia'!$B154)</f>
        <v/>
      </c>
    </row>
    <row r="155">
      <c r="A155" s="44">
        <f>IF('Resumo por Dia'!$A155="","",'Resumo por Dia'!$A155)</f>
        <v/>
      </c>
      <c r="B155" s="45">
        <f>IF('Resumo por Dia'!$A155="","",'Resumo por Dia'!$D155)</f>
        <v/>
      </c>
      <c r="C155" s="46">
        <f>IF('Resumo por Dia'!$A155="","",'Resumo por Dia'!$E155)</f>
        <v/>
      </c>
      <c r="D155" s="47">
        <f>IF('Resumo por Dia'!$A155="","",'Resumo por Dia'!$F155)</f>
        <v/>
      </c>
      <c r="E155" s="45">
        <f>IF('Resumo por Dia'!$A155="","",'Resumo por Dia'!$G155)</f>
        <v/>
      </c>
      <c r="F155" s="47">
        <f>IF('Resumo por Dia'!$A155="","",'Resumo por Dia'!$H155)</f>
        <v/>
      </c>
      <c r="G155" s="45">
        <f>IF('Resumo por Dia'!$A155="","",'Resumo por Dia'!$N155)</f>
        <v/>
      </c>
      <c r="H155" s="45">
        <f>IF('Resumo por Dia'!$A155="","",'Resumo por Dia'!$B155)</f>
        <v/>
      </c>
    </row>
    <row r="156">
      <c r="A156" s="44">
        <f>IF('Resumo por Dia'!$A156="","",'Resumo por Dia'!$A156)</f>
        <v/>
      </c>
      <c r="B156" s="45">
        <f>IF('Resumo por Dia'!$A156="","",'Resumo por Dia'!$D156)</f>
        <v/>
      </c>
      <c r="C156" s="46">
        <f>IF('Resumo por Dia'!$A156="","",'Resumo por Dia'!$E156)</f>
        <v/>
      </c>
      <c r="D156" s="47">
        <f>IF('Resumo por Dia'!$A156="","",'Resumo por Dia'!$F156)</f>
        <v/>
      </c>
      <c r="E156" s="45">
        <f>IF('Resumo por Dia'!$A156="","",'Resumo por Dia'!$G156)</f>
        <v/>
      </c>
      <c r="F156" s="47">
        <f>IF('Resumo por Dia'!$A156="","",'Resumo por Dia'!$H156)</f>
        <v/>
      </c>
      <c r="G156" s="45">
        <f>IF('Resumo por Dia'!$A156="","",'Resumo por Dia'!$N156)</f>
        <v/>
      </c>
      <c r="H156" s="45">
        <f>IF('Resumo por Dia'!$A156="","",'Resumo por Dia'!$B156)</f>
        <v/>
      </c>
    </row>
    <row r="157">
      <c r="A157" s="44">
        <f>IF('Resumo por Dia'!$A157="","",'Resumo por Dia'!$A157)</f>
        <v/>
      </c>
      <c r="B157" s="45">
        <f>IF('Resumo por Dia'!$A157="","",'Resumo por Dia'!$D157)</f>
        <v/>
      </c>
      <c r="C157" s="46">
        <f>IF('Resumo por Dia'!$A157="","",'Resumo por Dia'!$E157)</f>
        <v/>
      </c>
      <c r="D157" s="47">
        <f>IF('Resumo por Dia'!$A157="","",'Resumo por Dia'!$F157)</f>
        <v/>
      </c>
      <c r="E157" s="45">
        <f>IF('Resumo por Dia'!$A157="","",'Resumo por Dia'!$G157)</f>
        <v/>
      </c>
      <c r="F157" s="47">
        <f>IF('Resumo por Dia'!$A157="","",'Resumo por Dia'!$H157)</f>
        <v/>
      </c>
      <c r="G157" s="45">
        <f>IF('Resumo por Dia'!$A157="","",'Resumo por Dia'!$N157)</f>
        <v/>
      </c>
      <c r="H157" s="45">
        <f>IF('Resumo por Dia'!$A157="","",'Resumo por Dia'!$B157)</f>
        <v/>
      </c>
    </row>
    <row r="158">
      <c r="A158" s="44">
        <f>IF('Resumo por Dia'!$A158="","",'Resumo por Dia'!$A158)</f>
        <v/>
      </c>
      <c r="B158" s="45">
        <f>IF('Resumo por Dia'!$A158="","",'Resumo por Dia'!$D158)</f>
        <v/>
      </c>
      <c r="C158" s="46">
        <f>IF('Resumo por Dia'!$A158="","",'Resumo por Dia'!$E158)</f>
        <v/>
      </c>
      <c r="D158" s="47">
        <f>IF('Resumo por Dia'!$A158="","",'Resumo por Dia'!$F158)</f>
        <v/>
      </c>
      <c r="E158" s="45">
        <f>IF('Resumo por Dia'!$A158="","",'Resumo por Dia'!$G158)</f>
        <v/>
      </c>
      <c r="F158" s="47">
        <f>IF('Resumo por Dia'!$A158="","",'Resumo por Dia'!$H158)</f>
        <v/>
      </c>
      <c r="G158" s="45">
        <f>IF('Resumo por Dia'!$A158="","",'Resumo por Dia'!$N158)</f>
        <v/>
      </c>
      <c r="H158" s="45">
        <f>IF('Resumo por Dia'!$A158="","",'Resumo por Dia'!$B158)</f>
        <v/>
      </c>
    </row>
    <row r="159">
      <c r="A159" s="44">
        <f>IF('Resumo por Dia'!$A159="","",'Resumo por Dia'!$A159)</f>
        <v/>
      </c>
      <c r="B159" s="45">
        <f>IF('Resumo por Dia'!$A159="","",'Resumo por Dia'!$D159)</f>
        <v/>
      </c>
      <c r="C159" s="46">
        <f>IF('Resumo por Dia'!$A159="","",'Resumo por Dia'!$E159)</f>
        <v/>
      </c>
      <c r="D159" s="47">
        <f>IF('Resumo por Dia'!$A159="","",'Resumo por Dia'!$F159)</f>
        <v/>
      </c>
      <c r="E159" s="45">
        <f>IF('Resumo por Dia'!$A159="","",'Resumo por Dia'!$G159)</f>
        <v/>
      </c>
      <c r="F159" s="47">
        <f>IF('Resumo por Dia'!$A159="","",'Resumo por Dia'!$H159)</f>
        <v/>
      </c>
      <c r="G159" s="45">
        <f>IF('Resumo por Dia'!$A159="","",'Resumo por Dia'!$N159)</f>
        <v/>
      </c>
      <c r="H159" s="45">
        <f>IF('Resumo por Dia'!$A159="","",'Resumo por Dia'!$B159)</f>
        <v/>
      </c>
    </row>
    <row r="160">
      <c r="A160" s="44">
        <f>IF('Resumo por Dia'!$A160="","",'Resumo por Dia'!$A160)</f>
        <v/>
      </c>
      <c r="B160" s="45">
        <f>IF('Resumo por Dia'!$A160="","",'Resumo por Dia'!$D160)</f>
        <v/>
      </c>
      <c r="C160" s="46">
        <f>IF('Resumo por Dia'!$A160="","",'Resumo por Dia'!$E160)</f>
        <v/>
      </c>
      <c r="D160" s="47">
        <f>IF('Resumo por Dia'!$A160="","",'Resumo por Dia'!$F160)</f>
        <v/>
      </c>
      <c r="E160" s="45">
        <f>IF('Resumo por Dia'!$A160="","",'Resumo por Dia'!$G160)</f>
        <v/>
      </c>
      <c r="F160" s="47">
        <f>IF('Resumo por Dia'!$A160="","",'Resumo por Dia'!$H160)</f>
        <v/>
      </c>
      <c r="G160" s="45">
        <f>IF('Resumo por Dia'!$A160="","",'Resumo por Dia'!$N160)</f>
        <v/>
      </c>
      <c r="H160" s="45">
        <f>IF('Resumo por Dia'!$A160="","",'Resumo por Dia'!$B160)</f>
        <v/>
      </c>
    </row>
    <row r="161">
      <c r="A161" s="44">
        <f>IF('Resumo por Dia'!$A161="","",'Resumo por Dia'!$A161)</f>
        <v/>
      </c>
      <c r="B161" s="45">
        <f>IF('Resumo por Dia'!$A161="","",'Resumo por Dia'!$D161)</f>
        <v/>
      </c>
      <c r="C161" s="46">
        <f>IF('Resumo por Dia'!$A161="","",'Resumo por Dia'!$E161)</f>
        <v/>
      </c>
      <c r="D161" s="47">
        <f>IF('Resumo por Dia'!$A161="","",'Resumo por Dia'!$F161)</f>
        <v/>
      </c>
      <c r="E161" s="45">
        <f>IF('Resumo por Dia'!$A161="","",'Resumo por Dia'!$G161)</f>
        <v/>
      </c>
      <c r="F161" s="47">
        <f>IF('Resumo por Dia'!$A161="","",'Resumo por Dia'!$H161)</f>
        <v/>
      </c>
      <c r="G161" s="45">
        <f>IF('Resumo por Dia'!$A161="","",'Resumo por Dia'!$N161)</f>
        <v/>
      </c>
      <c r="H161" s="45">
        <f>IF('Resumo por Dia'!$A161="","",'Resumo por Dia'!$B161)</f>
        <v/>
      </c>
    </row>
    <row r="162">
      <c r="A162" s="44">
        <f>IF('Resumo por Dia'!$A162="","",'Resumo por Dia'!$A162)</f>
        <v/>
      </c>
      <c r="B162" s="45">
        <f>IF('Resumo por Dia'!$A162="","",'Resumo por Dia'!$D162)</f>
        <v/>
      </c>
      <c r="C162" s="46">
        <f>IF('Resumo por Dia'!$A162="","",'Resumo por Dia'!$E162)</f>
        <v/>
      </c>
      <c r="D162" s="47">
        <f>IF('Resumo por Dia'!$A162="","",'Resumo por Dia'!$F162)</f>
        <v/>
      </c>
      <c r="E162" s="45">
        <f>IF('Resumo por Dia'!$A162="","",'Resumo por Dia'!$G162)</f>
        <v/>
      </c>
      <c r="F162" s="47">
        <f>IF('Resumo por Dia'!$A162="","",'Resumo por Dia'!$H162)</f>
        <v/>
      </c>
      <c r="G162" s="45">
        <f>IF('Resumo por Dia'!$A162="","",'Resumo por Dia'!$N162)</f>
        <v/>
      </c>
      <c r="H162" s="45">
        <f>IF('Resumo por Dia'!$A162="","",'Resumo por Dia'!$B162)</f>
        <v/>
      </c>
    </row>
    <row r="163">
      <c r="A163" s="44">
        <f>IF('Resumo por Dia'!$A163="","",'Resumo por Dia'!$A163)</f>
        <v/>
      </c>
      <c r="B163" s="45">
        <f>IF('Resumo por Dia'!$A163="","",'Resumo por Dia'!$D163)</f>
        <v/>
      </c>
      <c r="C163" s="46">
        <f>IF('Resumo por Dia'!$A163="","",'Resumo por Dia'!$E163)</f>
        <v/>
      </c>
      <c r="D163" s="47">
        <f>IF('Resumo por Dia'!$A163="","",'Resumo por Dia'!$F163)</f>
        <v/>
      </c>
      <c r="E163" s="45">
        <f>IF('Resumo por Dia'!$A163="","",'Resumo por Dia'!$G163)</f>
        <v/>
      </c>
      <c r="F163" s="47">
        <f>IF('Resumo por Dia'!$A163="","",'Resumo por Dia'!$H163)</f>
        <v/>
      </c>
      <c r="G163" s="45">
        <f>IF('Resumo por Dia'!$A163="","",'Resumo por Dia'!$N163)</f>
        <v/>
      </c>
      <c r="H163" s="45">
        <f>IF('Resumo por Dia'!$A163="","",'Resumo por Dia'!$B163)</f>
        <v/>
      </c>
    </row>
    <row r="164">
      <c r="A164" s="44">
        <f>IF('Resumo por Dia'!$A164="","",'Resumo por Dia'!$A164)</f>
        <v/>
      </c>
      <c r="B164" s="45">
        <f>IF('Resumo por Dia'!$A164="","",'Resumo por Dia'!$D164)</f>
        <v/>
      </c>
      <c r="C164" s="46">
        <f>IF('Resumo por Dia'!$A164="","",'Resumo por Dia'!$E164)</f>
        <v/>
      </c>
      <c r="D164" s="47">
        <f>IF('Resumo por Dia'!$A164="","",'Resumo por Dia'!$F164)</f>
        <v/>
      </c>
      <c r="E164" s="45">
        <f>IF('Resumo por Dia'!$A164="","",'Resumo por Dia'!$G164)</f>
        <v/>
      </c>
      <c r="F164" s="47">
        <f>IF('Resumo por Dia'!$A164="","",'Resumo por Dia'!$H164)</f>
        <v/>
      </c>
      <c r="G164" s="45">
        <f>IF('Resumo por Dia'!$A164="","",'Resumo por Dia'!$N164)</f>
        <v/>
      </c>
      <c r="H164" s="45">
        <f>IF('Resumo por Dia'!$A164="","",'Resumo por Dia'!$B164)</f>
        <v/>
      </c>
    </row>
    <row r="165">
      <c r="A165" s="44">
        <f>IF('Resumo por Dia'!$A165="","",'Resumo por Dia'!$A165)</f>
        <v/>
      </c>
      <c r="B165" s="45">
        <f>IF('Resumo por Dia'!$A165="","",'Resumo por Dia'!$D165)</f>
        <v/>
      </c>
      <c r="C165" s="46">
        <f>IF('Resumo por Dia'!$A165="","",'Resumo por Dia'!$E165)</f>
        <v/>
      </c>
      <c r="D165" s="47">
        <f>IF('Resumo por Dia'!$A165="","",'Resumo por Dia'!$F165)</f>
        <v/>
      </c>
      <c r="E165" s="45">
        <f>IF('Resumo por Dia'!$A165="","",'Resumo por Dia'!$G165)</f>
        <v/>
      </c>
      <c r="F165" s="47">
        <f>IF('Resumo por Dia'!$A165="","",'Resumo por Dia'!$H165)</f>
        <v/>
      </c>
      <c r="G165" s="45">
        <f>IF('Resumo por Dia'!$A165="","",'Resumo por Dia'!$N165)</f>
        <v/>
      </c>
      <c r="H165" s="45">
        <f>IF('Resumo por Dia'!$A165="","",'Resumo por Dia'!$B165)</f>
        <v/>
      </c>
    </row>
    <row r="166">
      <c r="A166" s="44">
        <f>IF('Resumo por Dia'!$A166="","",'Resumo por Dia'!$A166)</f>
        <v/>
      </c>
      <c r="B166" s="45">
        <f>IF('Resumo por Dia'!$A166="","",'Resumo por Dia'!$D166)</f>
        <v/>
      </c>
      <c r="C166" s="46">
        <f>IF('Resumo por Dia'!$A166="","",'Resumo por Dia'!$E166)</f>
        <v/>
      </c>
      <c r="D166" s="47">
        <f>IF('Resumo por Dia'!$A166="","",'Resumo por Dia'!$F166)</f>
        <v/>
      </c>
      <c r="E166" s="45">
        <f>IF('Resumo por Dia'!$A166="","",'Resumo por Dia'!$G166)</f>
        <v/>
      </c>
      <c r="F166" s="47">
        <f>IF('Resumo por Dia'!$A166="","",'Resumo por Dia'!$H166)</f>
        <v/>
      </c>
      <c r="G166" s="45">
        <f>IF('Resumo por Dia'!$A166="","",'Resumo por Dia'!$N166)</f>
        <v/>
      </c>
      <c r="H166" s="45">
        <f>IF('Resumo por Dia'!$A166="","",'Resumo por Dia'!$B166)</f>
        <v/>
      </c>
    </row>
    <row r="167">
      <c r="A167" s="44">
        <f>IF('Resumo por Dia'!$A167="","",'Resumo por Dia'!$A167)</f>
        <v/>
      </c>
      <c r="B167" s="45">
        <f>IF('Resumo por Dia'!$A167="","",'Resumo por Dia'!$D167)</f>
        <v/>
      </c>
      <c r="C167" s="46">
        <f>IF('Resumo por Dia'!$A167="","",'Resumo por Dia'!$E167)</f>
        <v/>
      </c>
      <c r="D167" s="47">
        <f>IF('Resumo por Dia'!$A167="","",'Resumo por Dia'!$F167)</f>
        <v/>
      </c>
      <c r="E167" s="45">
        <f>IF('Resumo por Dia'!$A167="","",'Resumo por Dia'!$G167)</f>
        <v/>
      </c>
      <c r="F167" s="47">
        <f>IF('Resumo por Dia'!$A167="","",'Resumo por Dia'!$H167)</f>
        <v/>
      </c>
      <c r="G167" s="45">
        <f>IF('Resumo por Dia'!$A167="","",'Resumo por Dia'!$N167)</f>
        <v/>
      </c>
      <c r="H167" s="45">
        <f>IF('Resumo por Dia'!$A167="","",'Resumo por Dia'!$B167)</f>
        <v/>
      </c>
    </row>
    <row r="168">
      <c r="A168" s="44">
        <f>IF('Resumo por Dia'!$A168="","",'Resumo por Dia'!$A168)</f>
        <v/>
      </c>
      <c r="B168" s="45">
        <f>IF('Resumo por Dia'!$A168="","",'Resumo por Dia'!$D168)</f>
        <v/>
      </c>
      <c r="C168" s="46">
        <f>IF('Resumo por Dia'!$A168="","",'Resumo por Dia'!$E168)</f>
        <v/>
      </c>
      <c r="D168" s="47">
        <f>IF('Resumo por Dia'!$A168="","",'Resumo por Dia'!$F168)</f>
        <v/>
      </c>
      <c r="E168" s="45">
        <f>IF('Resumo por Dia'!$A168="","",'Resumo por Dia'!$G168)</f>
        <v/>
      </c>
      <c r="F168" s="47">
        <f>IF('Resumo por Dia'!$A168="","",'Resumo por Dia'!$H168)</f>
        <v/>
      </c>
      <c r="G168" s="45">
        <f>IF('Resumo por Dia'!$A168="","",'Resumo por Dia'!$N168)</f>
        <v/>
      </c>
      <c r="H168" s="45">
        <f>IF('Resumo por Dia'!$A168="","",'Resumo por Dia'!$B168)</f>
        <v/>
      </c>
    </row>
    <row r="169">
      <c r="A169" s="44">
        <f>IF('Resumo por Dia'!$A169="","",'Resumo por Dia'!$A169)</f>
        <v/>
      </c>
      <c r="B169" s="45">
        <f>IF('Resumo por Dia'!$A169="","",'Resumo por Dia'!$D169)</f>
        <v/>
      </c>
      <c r="C169" s="46">
        <f>IF('Resumo por Dia'!$A169="","",'Resumo por Dia'!$E169)</f>
        <v/>
      </c>
      <c r="D169" s="47">
        <f>IF('Resumo por Dia'!$A169="","",'Resumo por Dia'!$F169)</f>
        <v/>
      </c>
      <c r="E169" s="45">
        <f>IF('Resumo por Dia'!$A169="","",'Resumo por Dia'!$G169)</f>
        <v/>
      </c>
      <c r="F169" s="47">
        <f>IF('Resumo por Dia'!$A169="","",'Resumo por Dia'!$H169)</f>
        <v/>
      </c>
      <c r="G169" s="45">
        <f>IF('Resumo por Dia'!$A169="","",'Resumo por Dia'!$N169)</f>
        <v/>
      </c>
      <c r="H169" s="45">
        <f>IF('Resumo por Dia'!$A169="","",'Resumo por Dia'!$B169)</f>
        <v/>
      </c>
    </row>
    <row r="170">
      <c r="A170" s="44">
        <f>IF('Resumo por Dia'!$A170="","",'Resumo por Dia'!$A170)</f>
        <v/>
      </c>
      <c r="B170" s="45">
        <f>IF('Resumo por Dia'!$A170="","",'Resumo por Dia'!$D170)</f>
        <v/>
      </c>
      <c r="C170" s="46">
        <f>IF('Resumo por Dia'!$A170="","",'Resumo por Dia'!$E170)</f>
        <v/>
      </c>
      <c r="D170" s="47">
        <f>IF('Resumo por Dia'!$A170="","",'Resumo por Dia'!$F170)</f>
        <v/>
      </c>
      <c r="E170" s="45">
        <f>IF('Resumo por Dia'!$A170="","",'Resumo por Dia'!$G170)</f>
        <v/>
      </c>
      <c r="F170" s="47">
        <f>IF('Resumo por Dia'!$A170="","",'Resumo por Dia'!$H170)</f>
        <v/>
      </c>
      <c r="G170" s="45">
        <f>IF('Resumo por Dia'!$A170="","",'Resumo por Dia'!$N170)</f>
        <v/>
      </c>
      <c r="H170" s="45">
        <f>IF('Resumo por Dia'!$A170="","",'Resumo por Dia'!$B170)</f>
        <v/>
      </c>
    </row>
    <row r="171">
      <c r="A171" s="44">
        <f>IF('Resumo por Dia'!$A171="","",'Resumo por Dia'!$A171)</f>
        <v/>
      </c>
      <c r="B171" s="45">
        <f>IF('Resumo por Dia'!$A171="","",'Resumo por Dia'!$D171)</f>
        <v/>
      </c>
      <c r="C171" s="46">
        <f>IF('Resumo por Dia'!$A171="","",'Resumo por Dia'!$E171)</f>
        <v/>
      </c>
      <c r="D171" s="47">
        <f>IF('Resumo por Dia'!$A171="","",'Resumo por Dia'!$F171)</f>
        <v/>
      </c>
      <c r="E171" s="45">
        <f>IF('Resumo por Dia'!$A171="","",'Resumo por Dia'!$G171)</f>
        <v/>
      </c>
      <c r="F171" s="47">
        <f>IF('Resumo por Dia'!$A171="","",'Resumo por Dia'!$H171)</f>
        <v/>
      </c>
      <c r="G171" s="45">
        <f>IF('Resumo por Dia'!$A171="","",'Resumo por Dia'!$N171)</f>
        <v/>
      </c>
      <c r="H171" s="45">
        <f>IF('Resumo por Dia'!$A171="","",'Resumo por Dia'!$B171)</f>
        <v/>
      </c>
    </row>
    <row r="172">
      <c r="A172" s="44">
        <f>IF('Resumo por Dia'!$A172="","",'Resumo por Dia'!$A172)</f>
        <v/>
      </c>
      <c r="B172" s="45">
        <f>IF('Resumo por Dia'!$A172="","",'Resumo por Dia'!$D172)</f>
        <v/>
      </c>
      <c r="C172" s="46">
        <f>IF('Resumo por Dia'!$A172="","",'Resumo por Dia'!$E172)</f>
        <v/>
      </c>
      <c r="D172" s="47">
        <f>IF('Resumo por Dia'!$A172="","",'Resumo por Dia'!$F172)</f>
        <v/>
      </c>
      <c r="E172" s="45">
        <f>IF('Resumo por Dia'!$A172="","",'Resumo por Dia'!$G172)</f>
        <v/>
      </c>
      <c r="F172" s="47">
        <f>IF('Resumo por Dia'!$A172="","",'Resumo por Dia'!$H172)</f>
        <v/>
      </c>
      <c r="G172" s="45">
        <f>IF('Resumo por Dia'!$A172="","",'Resumo por Dia'!$N172)</f>
        <v/>
      </c>
      <c r="H172" s="45">
        <f>IF('Resumo por Dia'!$A172="","",'Resumo por Dia'!$B172)</f>
        <v/>
      </c>
    </row>
    <row r="173">
      <c r="A173" s="44">
        <f>IF('Resumo por Dia'!$A173="","",'Resumo por Dia'!$A173)</f>
        <v/>
      </c>
      <c r="B173" s="45">
        <f>IF('Resumo por Dia'!$A173="","",'Resumo por Dia'!$D173)</f>
        <v/>
      </c>
      <c r="C173" s="46">
        <f>IF('Resumo por Dia'!$A173="","",'Resumo por Dia'!$E173)</f>
        <v/>
      </c>
      <c r="D173" s="47">
        <f>IF('Resumo por Dia'!$A173="","",'Resumo por Dia'!$F173)</f>
        <v/>
      </c>
      <c r="E173" s="45">
        <f>IF('Resumo por Dia'!$A173="","",'Resumo por Dia'!$G173)</f>
        <v/>
      </c>
      <c r="F173" s="47">
        <f>IF('Resumo por Dia'!$A173="","",'Resumo por Dia'!$H173)</f>
        <v/>
      </c>
      <c r="G173" s="45">
        <f>IF('Resumo por Dia'!$A173="","",'Resumo por Dia'!$N173)</f>
        <v/>
      </c>
      <c r="H173" s="45">
        <f>IF('Resumo por Dia'!$A173="","",'Resumo por Dia'!$B173)</f>
        <v/>
      </c>
    </row>
    <row r="174">
      <c r="A174" s="44">
        <f>IF('Resumo por Dia'!$A174="","",'Resumo por Dia'!$A174)</f>
        <v/>
      </c>
      <c r="B174" s="45">
        <f>IF('Resumo por Dia'!$A174="","",'Resumo por Dia'!$D174)</f>
        <v/>
      </c>
      <c r="C174" s="46">
        <f>IF('Resumo por Dia'!$A174="","",'Resumo por Dia'!$E174)</f>
        <v/>
      </c>
      <c r="D174" s="47">
        <f>IF('Resumo por Dia'!$A174="","",'Resumo por Dia'!$F174)</f>
        <v/>
      </c>
      <c r="E174" s="45">
        <f>IF('Resumo por Dia'!$A174="","",'Resumo por Dia'!$G174)</f>
        <v/>
      </c>
      <c r="F174" s="47">
        <f>IF('Resumo por Dia'!$A174="","",'Resumo por Dia'!$H174)</f>
        <v/>
      </c>
      <c r="G174" s="45">
        <f>IF('Resumo por Dia'!$A174="","",'Resumo por Dia'!$N174)</f>
        <v/>
      </c>
      <c r="H174" s="45">
        <f>IF('Resumo por Dia'!$A174="","",'Resumo por Dia'!$B174)</f>
        <v/>
      </c>
    </row>
    <row r="175">
      <c r="A175" s="44">
        <f>IF('Resumo por Dia'!$A175="","",'Resumo por Dia'!$A175)</f>
        <v/>
      </c>
      <c r="B175" s="45">
        <f>IF('Resumo por Dia'!$A175="","",'Resumo por Dia'!$D175)</f>
        <v/>
      </c>
      <c r="C175" s="46">
        <f>IF('Resumo por Dia'!$A175="","",'Resumo por Dia'!$E175)</f>
        <v/>
      </c>
      <c r="D175" s="47">
        <f>IF('Resumo por Dia'!$A175="","",'Resumo por Dia'!$F175)</f>
        <v/>
      </c>
      <c r="E175" s="45">
        <f>IF('Resumo por Dia'!$A175="","",'Resumo por Dia'!$G175)</f>
        <v/>
      </c>
      <c r="F175" s="47">
        <f>IF('Resumo por Dia'!$A175="","",'Resumo por Dia'!$H175)</f>
        <v/>
      </c>
      <c r="G175" s="45">
        <f>IF('Resumo por Dia'!$A175="","",'Resumo por Dia'!$N175)</f>
        <v/>
      </c>
      <c r="H175" s="45">
        <f>IF('Resumo por Dia'!$A175="","",'Resumo por Dia'!$B175)</f>
        <v/>
      </c>
    </row>
    <row r="176">
      <c r="A176" s="44">
        <f>IF('Resumo por Dia'!$A176="","",'Resumo por Dia'!$A176)</f>
        <v/>
      </c>
      <c r="B176" s="45">
        <f>IF('Resumo por Dia'!$A176="","",'Resumo por Dia'!$D176)</f>
        <v/>
      </c>
      <c r="C176" s="46">
        <f>IF('Resumo por Dia'!$A176="","",'Resumo por Dia'!$E176)</f>
        <v/>
      </c>
      <c r="D176" s="47">
        <f>IF('Resumo por Dia'!$A176="","",'Resumo por Dia'!$F176)</f>
        <v/>
      </c>
      <c r="E176" s="45">
        <f>IF('Resumo por Dia'!$A176="","",'Resumo por Dia'!$G176)</f>
        <v/>
      </c>
      <c r="F176" s="47">
        <f>IF('Resumo por Dia'!$A176="","",'Resumo por Dia'!$H176)</f>
        <v/>
      </c>
      <c r="G176" s="45">
        <f>IF('Resumo por Dia'!$A176="","",'Resumo por Dia'!$N176)</f>
        <v/>
      </c>
      <c r="H176" s="45">
        <f>IF('Resumo por Dia'!$A176="","",'Resumo por Dia'!$B176)</f>
        <v/>
      </c>
    </row>
    <row r="177">
      <c r="A177" s="44">
        <f>IF('Resumo por Dia'!$A177="","",'Resumo por Dia'!$A177)</f>
        <v/>
      </c>
      <c r="B177" s="45">
        <f>IF('Resumo por Dia'!$A177="","",'Resumo por Dia'!$D177)</f>
        <v/>
      </c>
      <c r="C177" s="46">
        <f>IF('Resumo por Dia'!$A177="","",'Resumo por Dia'!$E177)</f>
        <v/>
      </c>
      <c r="D177" s="47">
        <f>IF('Resumo por Dia'!$A177="","",'Resumo por Dia'!$F177)</f>
        <v/>
      </c>
      <c r="E177" s="45">
        <f>IF('Resumo por Dia'!$A177="","",'Resumo por Dia'!$G177)</f>
        <v/>
      </c>
      <c r="F177" s="47">
        <f>IF('Resumo por Dia'!$A177="","",'Resumo por Dia'!$H177)</f>
        <v/>
      </c>
      <c r="G177" s="45">
        <f>IF('Resumo por Dia'!$A177="","",'Resumo por Dia'!$N177)</f>
        <v/>
      </c>
      <c r="H177" s="45">
        <f>IF('Resumo por Dia'!$A177="","",'Resumo por Dia'!$B177)</f>
        <v/>
      </c>
    </row>
    <row r="178">
      <c r="A178" s="44">
        <f>IF('Resumo por Dia'!$A178="","",'Resumo por Dia'!$A178)</f>
        <v/>
      </c>
      <c r="B178" s="45">
        <f>IF('Resumo por Dia'!$A178="","",'Resumo por Dia'!$D178)</f>
        <v/>
      </c>
      <c r="C178" s="46">
        <f>IF('Resumo por Dia'!$A178="","",'Resumo por Dia'!$E178)</f>
        <v/>
      </c>
      <c r="D178" s="47">
        <f>IF('Resumo por Dia'!$A178="","",'Resumo por Dia'!$F178)</f>
        <v/>
      </c>
      <c r="E178" s="45">
        <f>IF('Resumo por Dia'!$A178="","",'Resumo por Dia'!$G178)</f>
        <v/>
      </c>
      <c r="F178" s="47">
        <f>IF('Resumo por Dia'!$A178="","",'Resumo por Dia'!$H178)</f>
        <v/>
      </c>
      <c r="G178" s="45">
        <f>IF('Resumo por Dia'!$A178="","",'Resumo por Dia'!$N178)</f>
        <v/>
      </c>
      <c r="H178" s="45">
        <f>IF('Resumo por Dia'!$A178="","",'Resumo por Dia'!$B178)</f>
        <v/>
      </c>
    </row>
    <row r="179">
      <c r="A179" s="44">
        <f>IF('Resumo por Dia'!$A179="","",'Resumo por Dia'!$A179)</f>
        <v/>
      </c>
      <c r="B179" s="45">
        <f>IF('Resumo por Dia'!$A179="","",'Resumo por Dia'!$D179)</f>
        <v/>
      </c>
      <c r="C179" s="46">
        <f>IF('Resumo por Dia'!$A179="","",'Resumo por Dia'!$E179)</f>
        <v/>
      </c>
      <c r="D179" s="47">
        <f>IF('Resumo por Dia'!$A179="","",'Resumo por Dia'!$F179)</f>
        <v/>
      </c>
      <c r="E179" s="45">
        <f>IF('Resumo por Dia'!$A179="","",'Resumo por Dia'!$G179)</f>
        <v/>
      </c>
      <c r="F179" s="47">
        <f>IF('Resumo por Dia'!$A179="","",'Resumo por Dia'!$H179)</f>
        <v/>
      </c>
      <c r="G179" s="45">
        <f>IF('Resumo por Dia'!$A179="","",'Resumo por Dia'!$N179)</f>
        <v/>
      </c>
      <c r="H179" s="45">
        <f>IF('Resumo por Dia'!$A179="","",'Resumo por Dia'!$B179)</f>
        <v/>
      </c>
    </row>
    <row r="180">
      <c r="A180" s="44">
        <f>IF('Resumo por Dia'!$A180="","",'Resumo por Dia'!$A180)</f>
        <v/>
      </c>
      <c r="B180" s="45">
        <f>IF('Resumo por Dia'!$A180="","",'Resumo por Dia'!$D180)</f>
        <v/>
      </c>
      <c r="C180" s="46">
        <f>IF('Resumo por Dia'!$A180="","",'Resumo por Dia'!$E180)</f>
        <v/>
      </c>
      <c r="D180" s="47">
        <f>IF('Resumo por Dia'!$A180="","",'Resumo por Dia'!$F180)</f>
        <v/>
      </c>
      <c r="E180" s="45">
        <f>IF('Resumo por Dia'!$A180="","",'Resumo por Dia'!$G180)</f>
        <v/>
      </c>
      <c r="F180" s="47">
        <f>IF('Resumo por Dia'!$A180="","",'Resumo por Dia'!$H180)</f>
        <v/>
      </c>
      <c r="G180" s="45">
        <f>IF('Resumo por Dia'!$A180="","",'Resumo por Dia'!$N180)</f>
        <v/>
      </c>
      <c r="H180" s="45">
        <f>IF('Resumo por Dia'!$A180="","",'Resumo por Dia'!$B180)</f>
        <v/>
      </c>
    </row>
    <row r="181">
      <c r="A181" s="44">
        <f>IF('Resumo por Dia'!$A181="","",'Resumo por Dia'!$A181)</f>
        <v/>
      </c>
      <c r="B181" s="45">
        <f>IF('Resumo por Dia'!$A181="","",'Resumo por Dia'!$D181)</f>
        <v/>
      </c>
      <c r="C181" s="46">
        <f>IF('Resumo por Dia'!$A181="","",'Resumo por Dia'!$E181)</f>
        <v/>
      </c>
      <c r="D181" s="47">
        <f>IF('Resumo por Dia'!$A181="","",'Resumo por Dia'!$F181)</f>
        <v/>
      </c>
      <c r="E181" s="45">
        <f>IF('Resumo por Dia'!$A181="","",'Resumo por Dia'!$G181)</f>
        <v/>
      </c>
      <c r="F181" s="47">
        <f>IF('Resumo por Dia'!$A181="","",'Resumo por Dia'!$H181)</f>
        <v/>
      </c>
      <c r="G181" s="45">
        <f>IF('Resumo por Dia'!$A181="","",'Resumo por Dia'!$N181)</f>
        <v/>
      </c>
      <c r="H181" s="45">
        <f>IF('Resumo por Dia'!$A181="","",'Resumo por Dia'!$B181)</f>
        <v/>
      </c>
    </row>
    <row r="182">
      <c r="A182" s="44">
        <f>IF('Resumo por Dia'!$A182="","",'Resumo por Dia'!$A182)</f>
        <v/>
      </c>
      <c r="B182" s="45">
        <f>IF('Resumo por Dia'!$A182="","",'Resumo por Dia'!$D182)</f>
        <v/>
      </c>
      <c r="C182" s="46">
        <f>IF('Resumo por Dia'!$A182="","",'Resumo por Dia'!$E182)</f>
        <v/>
      </c>
      <c r="D182" s="47">
        <f>IF('Resumo por Dia'!$A182="","",'Resumo por Dia'!$F182)</f>
        <v/>
      </c>
      <c r="E182" s="45">
        <f>IF('Resumo por Dia'!$A182="","",'Resumo por Dia'!$G182)</f>
        <v/>
      </c>
      <c r="F182" s="47">
        <f>IF('Resumo por Dia'!$A182="","",'Resumo por Dia'!$H182)</f>
        <v/>
      </c>
      <c r="G182" s="45">
        <f>IF('Resumo por Dia'!$A182="","",'Resumo por Dia'!$N182)</f>
        <v/>
      </c>
      <c r="H182" s="45">
        <f>IF('Resumo por Dia'!$A182="","",'Resumo por Dia'!$B182)</f>
        <v/>
      </c>
    </row>
    <row r="183">
      <c r="A183" s="44">
        <f>IF('Resumo por Dia'!$A183="","",'Resumo por Dia'!$A183)</f>
        <v/>
      </c>
      <c r="B183" s="45">
        <f>IF('Resumo por Dia'!$A183="","",'Resumo por Dia'!$D183)</f>
        <v/>
      </c>
      <c r="C183" s="46">
        <f>IF('Resumo por Dia'!$A183="","",'Resumo por Dia'!$E183)</f>
        <v/>
      </c>
      <c r="D183" s="47">
        <f>IF('Resumo por Dia'!$A183="","",'Resumo por Dia'!$F183)</f>
        <v/>
      </c>
      <c r="E183" s="45">
        <f>IF('Resumo por Dia'!$A183="","",'Resumo por Dia'!$G183)</f>
        <v/>
      </c>
      <c r="F183" s="47">
        <f>IF('Resumo por Dia'!$A183="","",'Resumo por Dia'!$H183)</f>
        <v/>
      </c>
      <c r="G183" s="45">
        <f>IF('Resumo por Dia'!$A183="","",'Resumo por Dia'!$N183)</f>
        <v/>
      </c>
      <c r="H183" s="45">
        <f>IF('Resumo por Dia'!$A183="","",'Resumo por Dia'!$B183)</f>
        <v/>
      </c>
    </row>
    <row r="184">
      <c r="A184" s="44">
        <f>IF('Resumo por Dia'!$A184="","",'Resumo por Dia'!$A184)</f>
        <v/>
      </c>
      <c r="B184" s="45">
        <f>IF('Resumo por Dia'!$A184="","",'Resumo por Dia'!$D184)</f>
        <v/>
      </c>
      <c r="C184" s="46">
        <f>IF('Resumo por Dia'!$A184="","",'Resumo por Dia'!$E184)</f>
        <v/>
      </c>
      <c r="D184" s="47">
        <f>IF('Resumo por Dia'!$A184="","",'Resumo por Dia'!$F184)</f>
        <v/>
      </c>
      <c r="E184" s="45">
        <f>IF('Resumo por Dia'!$A184="","",'Resumo por Dia'!$G184)</f>
        <v/>
      </c>
      <c r="F184" s="47">
        <f>IF('Resumo por Dia'!$A184="","",'Resumo por Dia'!$H184)</f>
        <v/>
      </c>
      <c r="G184" s="45">
        <f>IF('Resumo por Dia'!$A184="","",'Resumo por Dia'!$N184)</f>
        <v/>
      </c>
      <c r="H184" s="45">
        <f>IF('Resumo por Dia'!$A184="","",'Resumo por Dia'!$B184)</f>
        <v/>
      </c>
    </row>
    <row r="185">
      <c r="A185" s="44">
        <f>IF('Resumo por Dia'!$A185="","",'Resumo por Dia'!$A185)</f>
        <v/>
      </c>
      <c r="B185" s="45">
        <f>IF('Resumo por Dia'!$A185="","",'Resumo por Dia'!$D185)</f>
        <v/>
      </c>
      <c r="C185" s="46">
        <f>IF('Resumo por Dia'!$A185="","",'Resumo por Dia'!$E185)</f>
        <v/>
      </c>
      <c r="D185" s="47">
        <f>IF('Resumo por Dia'!$A185="","",'Resumo por Dia'!$F185)</f>
        <v/>
      </c>
      <c r="E185" s="45">
        <f>IF('Resumo por Dia'!$A185="","",'Resumo por Dia'!$G185)</f>
        <v/>
      </c>
      <c r="F185" s="47">
        <f>IF('Resumo por Dia'!$A185="","",'Resumo por Dia'!$H185)</f>
        <v/>
      </c>
      <c r="G185" s="45">
        <f>IF('Resumo por Dia'!$A185="","",'Resumo por Dia'!$N185)</f>
        <v/>
      </c>
      <c r="H185" s="45">
        <f>IF('Resumo por Dia'!$A185="","",'Resumo por Dia'!$B185)</f>
        <v/>
      </c>
    </row>
    <row r="186">
      <c r="A186" s="44">
        <f>IF('Resumo por Dia'!$A186="","",'Resumo por Dia'!$A186)</f>
        <v/>
      </c>
      <c r="B186" s="45">
        <f>IF('Resumo por Dia'!$A186="","",'Resumo por Dia'!$D186)</f>
        <v/>
      </c>
      <c r="C186" s="46">
        <f>IF('Resumo por Dia'!$A186="","",'Resumo por Dia'!$E186)</f>
        <v/>
      </c>
      <c r="D186" s="47">
        <f>IF('Resumo por Dia'!$A186="","",'Resumo por Dia'!$F186)</f>
        <v/>
      </c>
      <c r="E186" s="45">
        <f>IF('Resumo por Dia'!$A186="","",'Resumo por Dia'!$G186)</f>
        <v/>
      </c>
      <c r="F186" s="47">
        <f>IF('Resumo por Dia'!$A186="","",'Resumo por Dia'!$H186)</f>
        <v/>
      </c>
      <c r="G186" s="45">
        <f>IF('Resumo por Dia'!$A186="","",'Resumo por Dia'!$N186)</f>
        <v/>
      </c>
      <c r="H186" s="45">
        <f>IF('Resumo por Dia'!$A186="","",'Resumo por Dia'!$B186)</f>
        <v/>
      </c>
    </row>
    <row r="187">
      <c r="A187" s="44">
        <f>IF('Resumo por Dia'!$A187="","",'Resumo por Dia'!$A187)</f>
        <v/>
      </c>
      <c r="B187" s="45">
        <f>IF('Resumo por Dia'!$A187="","",'Resumo por Dia'!$D187)</f>
        <v/>
      </c>
      <c r="C187" s="46">
        <f>IF('Resumo por Dia'!$A187="","",'Resumo por Dia'!$E187)</f>
        <v/>
      </c>
      <c r="D187" s="47">
        <f>IF('Resumo por Dia'!$A187="","",'Resumo por Dia'!$F187)</f>
        <v/>
      </c>
      <c r="E187" s="45">
        <f>IF('Resumo por Dia'!$A187="","",'Resumo por Dia'!$G187)</f>
        <v/>
      </c>
      <c r="F187" s="47">
        <f>IF('Resumo por Dia'!$A187="","",'Resumo por Dia'!$H187)</f>
        <v/>
      </c>
      <c r="G187" s="45">
        <f>IF('Resumo por Dia'!$A187="","",'Resumo por Dia'!$N187)</f>
        <v/>
      </c>
      <c r="H187" s="45">
        <f>IF('Resumo por Dia'!$A187="","",'Resumo por Dia'!$B187)</f>
        <v/>
      </c>
    </row>
    <row r="188">
      <c r="A188" s="44">
        <f>IF('Resumo por Dia'!$A188="","",'Resumo por Dia'!$A188)</f>
        <v/>
      </c>
      <c r="B188" s="45">
        <f>IF('Resumo por Dia'!$A188="","",'Resumo por Dia'!$D188)</f>
        <v/>
      </c>
      <c r="C188" s="46">
        <f>IF('Resumo por Dia'!$A188="","",'Resumo por Dia'!$E188)</f>
        <v/>
      </c>
      <c r="D188" s="47">
        <f>IF('Resumo por Dia'!$A188="","",'Resumo por Dia'!$F188)</f>
        <v/>
      </c>
      <c r="E188" s="45">
        <f>IF('Resumo por Dia'!$A188="","",'Resumo por Dia'!$G188)</f>
        <v/>
      </c>
      <c r="F188" s="47">
        <f>IF('Resumo por Dia'!$A188="","",'Resumo por Dia'!$H188)</f>
        <v/>
      </c>
      <c r="G188" s="45">
        <f>IF('Resumo por Dia'!$A188="","",'Resumo por Dia'!$N188)</f>
        <v/>
      </c>
      <c r="H188" s="45">
        <f>IF('Resumo por Dia'!$A188="","",'Resumo por Dia'!$B188)</f>
        <v/>
      </c>
    </row>
    <row r="189">
      <c r="A189" s="44">
        <f>IF('Resumo por Dia'!$A189="","",'Resumo por Dia'!$A189)</f>
        <v/>
      </c>
      <c r="B189" s="45">
        <f>IF('Resumo por Dia'!$A189="","",'Resumo por Dia'!$D189)</f>
        <v/>
      </c>
      <c r="C189" s="46">
        <f>IF('Resumo por Dia'!$A189="","",'Resumo por Dia'!$E189)</f>
        <v/>
      </c>
      <c r="D189" s="47">
        <f>IF('Resumo por Dia'!$A189="","",'Resumo por Dia'!$F189)</f>
        <v/>
      </c>
      <c r="E189" s="45">
        <f>IF('Resumo por Dia'!$A189="","",'Resumo por Dia'!$G189)</f>
        <v/>
      </c>
      <c r="F189" s="47">
        <f>IF('Resumo por Dia'!$A189="","",'Resumo por Dia'!$H189)</f>
        <v/>
      </c>
      <c r="G189" s="45">
        <f>IF('Resumo por Dia'!$A189="","",'Resumo por Dia'!$N189)</f>
        <v/>
      </c>
      <c r="H189" s="45">
        <f>IF('Resumo por Dia'!$A189="","",'Resumo por Dia'!$B189)</f>
        <v/>
      </c>
    </row>
    <row r="190">
      <c r="A190" s="44">
        <f>IF('Resumo por Dia'!$A190="","",'Resumo por Dia'!$A190)</f>
        <v/>
      </c>
      <c r="B190" s="45">
        <f>IF('Resumo por Dia'!$A190="","",'Resumo por Dia'!$D190)</f>
        <v/>
      </c>
      <c r="C190" s="46">
        <f>IF('Resumo por Dia'!$A190="","",'Resumo por Dia'!$E190)</f>
        <v/>
      </c>
      <c r="D190" s="47">
        <f>IF('Resumo por Dia'!$A190="","",'Resumo por Dia'!$F190)</f>
        <v/>
      </c>
      <c r="E190" s="45">
        <f>IF('Resumo por Dia'!$A190="","",'Resumo por Dia'!$G190)</f>
        <v/>
      </c>
      <c r="F190" s="47">
        <f>IF('Resumo por Dia'!$A190="","",'Resumo por Dia'!$H190)</f>
        <v/>
      </c>
      <c r="G190" s="45">
        <f>IF('Resumo por Dia'!$A190="","",'Resumo por Dia'!$N190)</f>
        <v/>
      </c>
      <c r="H190" s="45">
        <f>IF('Resumo por Dia'!$A190="","",'Resumo por Dia'!$B190)</f>
        <v/>
      </c>
    </row>
    <row r="191">
      <c r="A191" s="44">
        <f>IF('Resumo por Dia'!$A191="","",'Resumo por Dia'!$A191)</f>
        <v/>
      </c>
      <c r="B191" s="45">
        <f>IF('Resumo por Dia'!$A191="","",'Resumo por Dia'!$D191)</f>
        <v/>
      </c>
      <c r="C191" s="46">
        <f>IF('Resumo por Dia'!$A191="","",'Resumo por Dia'!$E191)</f>
        <v/>
      </c>
      <c r="D191" s="47">
        <f>IF('Resumo por Dia'!$A191="","",'Resumo por Dia'!$F191)</f>
        <v/>
      </c>
      <c r="E191" s="45">
        <f>IF('Resumo por Dia'!$A191="","",'Resumo por Dia'!$G191)</f>
        <v/>
      </c>
      <c r="F191" s="47">
        <f>IF('Resumo por Dia'!$A191="","",'Resumo por Dia'!$H191)</f>
        <v/>
      </c>
      <c r="G191" s="45">
        <f>IF('Resumo por Dia'!$A191="","",'Resumo por Dia'!$N191)</f>
        <v/>
      </c>
      <c r="H191" s="45">
        <f>IF('Resumo por Dia'!$A191="","",'Resumo por Dia'!$B191)</f>
        <v/>
      </c>
    </row>
    <row r="192">
      <c r="A192" s="44">
        <f>IF('Resumo por Dia'!$A192="","",'Resumo por Dia'!$A192)</f>
        <v/>
      </c>
      <c r="B192" s="45">
        <f>IF('Resumo por Dia'!$A192="","",'Resumo por Dia'!$D192)</f>
        <v/>
      </c>
      <c r="C192" s="46">
        <f>IF('Resumo por Dia'!$A192="","",'Resumo por Dia'!$E192)</f>
        <v/>
      </c>
      <c r="D192" s="47">
        <f>IF('Resumo por Dia'!$A192="","",'Resumo por Dia'!$F192)</f>
        <v/>
      </c>
      <c r="E192" s="45">
        <f>IF('Resumo por Dia'!$A192="","",'Resumo por Dia'!$G192)</f>
        <v/>
      </c>
      <c r="F192" s="47">
        <f>IF('Resumo por Dia'!$A192="","",'Resumo por Dia'!$H192)</f>
        <v/>
      </c>
      <c r="G192" s="45">
        <f>IF('Resumo por Dia'!$A192="","",'Resumo por Dia'!$N192)</f>
        <v/>
      </c>
      <c r="H192" s="45">
        <f>IF('Resumo por Dia'!$A192="","",'Resumo por Dia'!$B192)</f>
        <v/>
      </c>
    </row>
    <row r="193">
      <c r="A193" s="44">
        <f>IF('Resumo por Dia'!$A193="","",'Resumo por Dia'!$A193)</f>
        <v/>
      </c>
      <c r="B193" s="45">
        <f>IF('Resumo por Dia'!$A193="","",'Resumo por Dia'!$D193)</f>
        <v/>
      </c>
      <c r="C193" s="46">
        <f>IF('Resumo por Dia'!$A193="","",'Resumo por Dia'!$E193)</f>
        <v/>
      </c>
      <c r="D193" s="47">
        <f>IF('Resumo por Dia'!$A193="","",'Resumo por Dia'!$F193)</f>
        <v/>
      </c>
      <c r="E193" s="45">
        <f>IF('Resumo por Dia'!$A193="","",'Resumo por Dia'!$G193)</f>
        <v/>
      </c>
      <c r="F193" s="47">
        <f>IF('Resumo por Dia'!$A193="","",'Resumo por Dia'!$H193)</f>
        <v/>
      </c>
      <c r="G193" s="45">
        <f>IF('Resumo por Dia'!$A193="","",'Resumo por Dia'!$N193)</f>
        <v/>
      </c>
      <c r="H193" s="45">
        <f>IF('Resumo por Dia'!$A193="","",'Resumo por Dia'!$B193)</f>
        <v/>
      </c>
    </row>
    <row r="194">
      <c r="A194" s="44">
        <f>IF('Resumo por Dia'!$A194="","",'Resumo por Dia'!$A194)</f>
        <v/>
      </c>
      <c r="B194" s="45">
        <f>IF('Resumo por Dia'!$A194="","",'Resumo por Dia'!$D194)</f>
        <v/>
      </c>
      <c r="C194" s="46">
        <f>IF('Resumo por Dia'!$A194="","",'Resumo por Dia'!$E194)</f>
        <v/>
      </c>
      <c r="D194" s="47">
        <f>IF('Resumo por Dia'!$A194="","",'Resumo por Dia'!$F194)</f>
        <v/>
      </c>
      <c r="E194" s="45">
        <f>IF('Resumo por Dia'!$A194="","",'Resumo por Dia'!$G194)</f>
        <v/>
      </c>
      <c r="F194" s="47">
        <f>IF('Resumo por Dia'!$A194="","",'Resumo por Dia'!$H194)</f>
        <v/>
      </c>
      <c r="G194" s="45">
        <f>IF('Resumo por Dia'!$A194="","",'Resumo por Dia'!$N194)</f>
        <v/>
      </c>
      <c r="H194" s="45">
        <f>IF('Resumo por Dia'!$A194="","",'Resumo por Dia'!$B194)</f>
        <v/>
      </c>
    </row>
    <row r="195">
      <c r="A195" s="44">
        <f>IF('Resumo por Dia'!$A195="","",'Resumo por Dia'!$A195)</f>
        <v/>
      </c>
      <c r="B195" s="45">
        <f>IF('Resumo por Dia'!$A195="","",'Resumo por Dia'!$D195)</f>
        <v/>
      </c>
      <c r="C195" s="46">
        <f>IF('Resumo por Dia'!$A195="","",'Resumo por Dia'!$E195)</f>
        <v/>
      </c>
      <c r="D195" s="47">
        <f>IF('Resumo por Dia'!$A195="","",'Resumo por Dia'!$F195)</f>
        <v/>
      </c>
      <c r="E195" s="45">
        <f>IF('Resumo por Dia'!$A195="","",'Resumo por Dia'!$G195)</f>
        <v/>
      </c>
      <c r="F195" s="47">
        <f>IF('Resumo por Dia'!$A195="","",'Resumo por Dia'!$H195)</f>
        <v/>
      </c>
      <c r="G195" s="45">
        <f>IF('Resumo por Dia'!$A195="","",'Resumo por Dia'!$N195)</f>
        <v/>
      </c>
      <c r="H195" s="45">
        <f>IF('Resumo por Dia'!$A195="","",'Resumo por Dia'!$B195)</f>
        <v/>
      </c>
    </row>
    <row r="196">
      <c r="A196" s="44">
        <f>IF('Resumo por Dia'!$A196="","",'Resumo por Dia'!$A196)</f>
        <v/>
      </c>
      <c r="B196" s="45">
        <f>IF('Resumo por Dia'!$A196="","",'Resumo por Dia'!$D196)</f>
        <v/>
      </c>
      <c r="C196" s="46">
        <f>IF('Resumo por Dia'!$A196="","",'Resumo por Dia'!$E196)</f>
        <v/>
      </c>
      <c r="D196" s="47">
        <f>IF('Resumo por Dia'!$A196="","",'Resumo por Dia'!$F196)</f>
        <v/>
      </c>
      <c r="E196" s="45">
        <f>IF('Resumo por Dia'!$A196="","",'Resumo por Dia'!$G196)</f>
        <v/>
      </c>
      <c r="F196" s="47">
        <f>IF('Resumo por Dia'!$A196="","",'Resumo por Dia'!$H196)</f>
        <v/>
      </c>
      <c r="G196" s="45">
        <f>IF('Resumo por Dia'!$A196="","",'Resumo por Dia'!$N196)</f>
        <v/>
      </c>
      <c r="H196" s="45">
        <f>IF('Resumo por Dia'!$A196="","",'Resumo por Dia'!$B196)</f>
        <v/>
      </c>
    </row>
    <row r="197">
      <c r="A197" s="44">
        <f>IF('Resumo por Dia'!$A197="","",'Resumo por Dia'!$A197)</f>
        <v/>
      </c>
      <c r="B197" s="45">
        <f>IF('Resumo por Dia'!$A197="","",'Resumo por Dia'!$D197)</f>
        <v/>
      </c>
      <c r="C197" s="46">
        <f>IF('Resumo por Dia'!$A197="","",'Resumo por Dia'!$E197)</f>
        <v/>
      </c>
      <c r="D197" s="47">
        <f>IF('Resumo por Dia'!$A197="","",'Resumo por Dia'!$F197)</f>
        <v/>
      </c>
      <c r="E197" s="45">
        <f>IF('Resumo por Dia'!$A197="","",'Resumo por Dia'!$G197)</f>
        <v/>
      </c>
      <c r="F197" s="47">
        <f>IF('Resumo por Dia'!$A197="","",'Resumo por Dia'!$H197)</f>
        <v/>
      </c>
      <c r="G197" s="45">
        <f>IF('Resumo por Dia'!$A197="","",'Resumo por Dia'!$N197)</f>
        <v/>
      </c>
      <c r="H197" s="45">
        <f>IF('Resumo por Dia'!$A197="","",'Resumo por Dia'!$B197)</f>
        <v/>
      </c>
    </row>
    <row r="198">
      <c r="A198" s="44">
        <f>IF('Resumo por Dia'!$A198="","",'Resumo por Dia'!$A198)</f>
        <v/>
      </c>
      <c r="B198" s="45">
        <f>IF('Resumo por Dia'!$A198="","",'Resumo por Dia'!$D198)</f>
        <v/>
      </c>
      <c r="C198" s="46">
        <f>IF('Resumo por Dia'!$A198="","",'Resumo por Dia'!$E198)</f>
        <v/>
      </c>
      <c r="D198" s="47">
        <f>IF('Resumo por Dia'!$A198="","",'Resumo por Dia'!$F198)</f>
        <v/>
      </c>
      <c r="E198" s="45">
        <f>IF('Resumo por Dia'!$A198="","",'Resumo por Dia'!$G198)</f>
        <v/>
      </c>
      <c r="F198" s="47">
        <f>IF('Resumo por Dia'!$A198="","",'Resumo por Dia'!$H198)</f>
        <v/>
      </c>
      <c r="G198" s="45">
        <f>IF('Resumo por Dia'!$A198="","",'Resumo por Dia'!$N198)</f>
        <v/>
      </c>
      <c r="H198" s="45">
        <f>IF('Resumo por Dia'!$A198="","",'Resumo por Dia'!$B198)</f>
        <v/>
      </c>
    </row>
    <row r="199">
      <c r="A199" s="44">
        <f>IF('Resumo por Dia'!$A199="","",'Resumo por Dia'!$A199)</f>
        <v/>
      </c>
      <c r="B199" s="45">
        <f>IF('Resumo por Dia'!$A199="","",'Resumo por Dia'!$D199)</f>
        <v/>
      </c>
      <c r="C199" s="46">
        <f>IF('Resumo por Dia'!$A199="","",'Resumo por Dia'!$E199)</f>
        <v/>
      </c>
      <c r="D199" s="47">
        <f>IF('Resumo por Dia'!$A199="","",'Resumo por Dia'!$F199)</f>
        <v/>
      </c>
      <c r="E199" s="45">
        <f>IF('Resumo por Dia'!$A199="","",'Resumo por Dia'!$G199)</f>
        <v/>
      </c>
      <c r="F199" s="47">
        <f>IF('Resumo por Dia'!$A199="","",'Resumo por Dia'!$H199)</f>
        <v/>
      </c>
      <c r="G199" s="45">
        <f>IF('Resumo por Dia'!$A199="","",'Resumo por Dia'!$N199)</f>
        <v/>
      </c>
      <c r="H199" s="45">
        <f>IF('Resumo por Dia'!$A199="","",'Resumo por Dia'!$B199)</f>
        <v/>
      </c>
    </row>
    <row r="200">
      <c r="A200" s="44">
        <f>IF('Resumo por Dia'!$A200="","",'Resumo por Dia'!$A200)</f>
        <v/>
      </c>
      <c r="B200" s="45">
        <f>IF('Resumo por Dia'!$A200="","",'Resumo por Dia'!$D200)</f>
        <v/>
      </c>
      <c r="C200" s="46">
        <f>IF('Resumo por Dia'!$A200="","",'Resumo por Dia'!$E200)</f>
        <v/>
      </c>
      <c r="D200" s="47">
        <f>IF('Resumo por Dia'!$A200="","",'Resumo por Dia'!$F200)</f>
        <v/>
      </c>
      <c r="E200" s="45">
        <f>IF('Resumo por Dia'!$A200="","",'Resumo por Dia'!$G200)</f>
        <v/>
      </c>
      <c r="F200" s="47">
        <f>IF('Resumo por Dia'!$A200="","",'Resumo por Dia'!$H200)</f>
        <v/>
      </c>
      <c r="G200" s="45">
        <f>IF('Resumo por Dia'!$A200="","",'Resumo por Dia'!$N200)</f>
        <v/>
      </c>
      <c r="H200" s="45">
        <f>IF('Resumo por Dia'!$A200="","",'Resumo por Dia'!$B200)</f>
        <v/>
      </c>
    </row>
    <row r="201">
      <c r="A201" s="44">
        <f>IF('Resumo por Dia'!$A201="","",'Resumo por Dia'!$A201)</f>
        <v/>
      </c>
      <c r="B201" s="45">
        <f>IF('Resumo por Dia'!$A201="","",'Resumo por Dia'!$D201)</f>
        <v/>
      </c>
      <c r="C201" s="46">
        <f>IF('Resumo por Dia'!$A201="","",'Resumo por Dia'!$E201)</f>
        <v/>
      </c>
      <c r="D201" s="47">
        <f>IF('Resumo por Dia'!$A201="","",'Resumo por Dia'!$F201)</f>
        <v/>
      </c>
      <c r="E201" s="45">
        <f>IF('Resumo por Dia'!$A201="","",'Resumo por Dia'!$G201)</f>
        <v/>
      </c>
      <c r="F201" s="47">
        <f>IF('Resumo por Dia'!$A201="","",'Resumo por Dia'!$H201)</f>
        <v/>
      </c>
      <c r="G201" s="45">
        <f>IF('Resumo por Dia'!$A201="","",'Resumo por Dia'!$N201)</f>
        <v/>
      </c>
      <c r="H201" s="45">
        <f>IF('Resumo por Dia'!$A201="","",'Resumo por Dia'!$B201)</f>
        <v/>
      </c>
    </row>
    <row r="202">
      <c r="A202" s="44">
        <f>IF('Resumo por Dia'!$A202="","",'Resumo por Dia'!$A202)</f>
        <v/>
      </c>
      <c r="B202" s="45">
        <f>IF('Resumo por Dia'!$A202="","",'Resumo por Dia'!$D202)</f>
        <v/>
      </c>
      <c r="C202" s="46">
        <f>IF('Resumo por Dia'!$A202="","",'Resumo por Dia'!$E202)</f>
        <v/>
      </c>
      <c r="D202" s="47">
        <f>IF('Resumo por Dia'!$A202="","",'Resumo por Dia'!$F202)</f>
        <v/>
      </c>
      <c r="E202" s="45">
        <f>IF('Resumo por Dia'!$A202="","",'Resumo por Dia'!$G202)</f>
        <v/>
      </c>
      <c r="F202" s="47">
        <f>IF('Resumo por Dia'!$A202="","",'Resumo por Dia'!$H202)</f>
        <v/>
      </c>
      <c r="G202" s="45">
        <f>IF('Resumo por Dia'!$A202="","",'Resumo por Dia'!$N202)</f>
        <v/>
      </c>
      <c r="H202" s="45">
        <f>IF('Resumo por Dia'!$A202="","",'Resumo por Dia'!$B202)</f>
        <v/>
      </c>
    </row>
    <row r="203">
      <c r="A203" s="44">
        <f>IF('Resumo por Dia'!$A203="","",'Resumo por Dia'!$A203)</f>
        <v/>
      </c>
      <c r="B203" s="45">
        <f>IF('Resumo por Dia'!$A203="","",'Resumo por Dia'!$D203)</f>
        <v/>
      </c>
      <c r="C203" s="46">
        <f>IF('Resumo por Dia'!$A203="","",'Resumo por Dia'!$E203)</f>
        <v/>
      </c>
      <c r="D203" s="47">
        <f>IF('Resumo por Dia'!$A203="","",'Resumo por Dia'!$F203)</f>
        <v/>
      </c>
      <c r="E203" s="45">
        <f>IF('Resumo por Dia'!$A203="","",'Resumo por Dia'!$G203)</f>
        <v/>
      </c>
      <c r="F203" s="47">
        <f>IF('Resumo por Dia'!$A203="","",'Resumo por Dia'!$H203)</f>
        <v/>
      </c>
      <c r="G203" s="45">
        <f>IF('Resumo por Dia'!$A203="","",'Resumo por Dia'!$N203)</f>
        <v/>
      </c>
      <c r="H203" s="45">
        <f>IF('Resumo por Dia'!$A203="","",'Resumo por Dia'!$B203)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I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9" customWidth="1" min="9" max="9"/>
  </cols>
  <sheetData>
    <row r="1" ht="30" customHeight="1">
      <c r="A1" s="1" t="inlineStr">
        <is>
          <t>FECHAMENTO MENSAL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Espelho da aba Resumo por Mês — uma linha por mês, escrita pelo app.</t>
        </is>
      </c>
    </row>
    <row r="3" ht="30" customHeight="1">
      <c r="A3" s="30" t="inlineStr">
        <is>
          <t>Mês</t>
        </is>
      </c>
      <c r="B3" s="30" t="inlineStr">
        <is>
          <t>Dias</t>
        </is>
      </c>
      <c r="C3" s="30" t="inlineStr">
        <is>
          <t>Consumo (L)</t>
        </is>
      </c>
      <c r="D3" s="30" t="inlineStr">
        <is>
          <t>Horas</t>
        </is>
      </c>
      <c r="E3" s="30" t="inlineStr">
        <is>
          <t>L/h</t>
        </is>
      </c>
      <c r="F3" s="30" t="inlineStr">
        <is>
          <t>Produção (t)</t>
        </is>
      </c>
      <c r="G3" s="30" t="inlineStr">
        <is>
          <t>L/Ton</t>
        </is>
      </c>
      <c r="H3" s="30" t="inlineStr">
        <is>
          <t>Viagens</t>
        </is>
      </c>
      <c r="I3" s="30" t="inlineStr">
        <is>
          <t>Manut.</t>
        </is>
      </c>
    </row>
    <row r="4">
      <c r="A4">
        <f>IF('Resumo por Mês'!$A4="","",'Resumo por Mês'!$A4)</f>
        <v/>
      </c>
      <c r="B4" s="45">
        <f>IF('Resumo por Mês'!$A4="","",'Resumo por Mês'!$B4)</f>
        <v/>
      </c>
      <c r="C4" s="45">
        <f>IF('Resumo por Mês'!$A4="","",'Resumo por Mês'!$E4)</f>
        <v/>
      </c>
      <c r="D4" s="46">
        <f>IF('Resumo por Mês'!$A4="","",'Resumo por Mês'!$F4)</f>
        <v/>
      </c>
      <c r="E4" s="47">
        <f>IF('Resumo por Mês'!$A4="","",'Resumo por Mês'!$G4)</f>
        <v/>
      </c>
      <c r="F4" s="45">
        <f>IF('Resumo por Mês'!$A4="","",'Resumo por Mês'!$H4)</f>
        <v/>
      </c>
      <c r="G4" s="47">
        <f>IF('Resumo por Mês'!$A4="","",'Resumo por Mês'!$I4)</f>
        <v/>
      </c>
      <c r="H4" s="45">
        <f>IF('Resumo por Mês'!$A4="","",'Resumo por Mês'!$O4)</f>
        <v/>
      </c>
      <c r="I4" s="45">
        <f>IF('Resumo por Mês'!$A4="","",'Resumo por Mês'!$P4)</f>
        <v/>
      </c>
    </row>
    <row r="5">
      <c r="A5">
        <f>IF('Resumo por Mês'!$A5="","",'Resumo por Mês'!$A5)</f>
        <v/>
      </c>
      <c r="B5" s="45">
        <f>IF('Resumo por Mês'!$A5="","",'Resumo por Mês'!$B5)</f>
        <v/>
      </c>
      <c r="C5" s="45">
        <f>IF('Resumo por Mês'!$A5="","",'Resumo por Mês'!$E5)</f>
        <v/>
      </c>
      <c r="D5" s="46">
        <f>IF('Resumo por Mês'!$A5="","",'Resumo por Mês'!$F5)</f>
        <v/>
      </c>
      <c r="E5" s="47">
        <f>IF('Resumo por Mês'!$A5="","",'Resumo por Mês'!$G5)</f>
        <v/>
      </c>
      <c r="F5" s="45">
        <f>IF('Resumo por Mês'!$A5="","",'Resumo por Mês'!$H5)</f>
        <v/>
      </c>
      <c r="G5" s="47">
        <f>IF('Resumo por Mês'!$A5="","",'Resumo por Mês'!$I5)</f>
        <v/>
      </c>
      <c r="H5" s="45">
        <f>IF('Resumo por Mês'!$A5="","",'Resumo por Mês'!$O5)</f>
        <v/>
      </c>
      <c r="I5" s="45">
        <f>IF('Resumo por Mês'!$A5="","",'Resumo por Mês'!$P5)</f>
        <v/>
      </c>
    </row>
    <row r="6">
      <c r="A6">
        <f>IF('Resumo por Mês'!$A6="","",'Resumo por Mês'!$A6)</f>
        <v/>
      </c>
      <c r="B6" s="45">
        <f>IF('Resumo por Mês'!$A6="","",'Resumo por Mês'!$B6)</f>
        <v/>
      </c>
      <c r="C6" s="45">
        <f>IF('Resumo por Mês'!$A6="","",'Resumo por Mês'!$E6)</f>
        <v/>
      </c>
      <c r="D6" s="46">
        <f>IF('Resumo por Mês'!$A6="","",'Resumo por Mês'!$F6)</f>
        <v/>
      </c>
      <c r="E6" s="47">
        <f>IF('Resumo por Mês'!$A6="","",'Resumo por Mês'!$G6)</f>
        <v/>
      </c>
      <c r="F6" s="45">
        <f>IF('Resumo por Mês'!$A6="","",'Resumo por Mês'!$H6)</f>
        <v/>
      </c>
      <c r="G6" s="47">
        <f>IF('Resumo por Mês'!$A6="","",'Resumo por Mês'!$I6)</f>
        <v/>
      </c>
      <c r="H6" s="45">
        <f>IF('Resumo por Mês'!$A6="","",'Resumo por Mês'!$O6)</f>
        <v/>
      </c>
      <c r="I6" s="45">
        <f>IF('Resumo por Mês'!$A6="","",'Resumo por Mês'!$P6)</f>
        <v/>
      </c>
    </row>
    <row r="7">
      <c r="A7">
        <f>IF('Resumo por Mês'!$A7="","",'Resumo por Mês'!$A7)</f>
        <v/>
      </c>
      <c r="B7" s="45">
        <f>IF('Resumo por Mês'!$A7="","",'Resumo por Mês'!$B7)</f>
        <v/>
      </c>
      <c r="C7" s="45">
        <f>IF('Resumo por Mês'!$A7="","",'Resumo por Mês'!$E7)</f>
        <v/>
      </c>
      <c r="D7" s="46">
        <f>IF('Resumo por Mês'!$A7="","",'Resumo por Mês'!$F7)</f>
        <v/>
      </c>
      <c r="E7" s="47">
        <f>IF('Resumo por Mês'!$A7="","",'Resumo por Mês'!$G7)</f>
        <v/>
      </c>
      <c r="F7" s="45">
        <f>IF('Resumo por Mês'!$A7="","",'Resumo por Mês'!$H7)</f>
        <v/>
      </c>
      <c r="G7" s="47">
        <f>IF('Resumo por Mês'!$A7="","",'Resumo por Mês'!$I7)</f>
        <v/>
      </c>
      <c r="H7" s="45">
        <f>IF('Resumo por Mês'!$A7="","",'Resumo por Mês'!$O7)</f>
        <v/>
      </c>
      <c r="I7" s="45">
        <f>IF('Resumo por Mês'!$A7="","",'Resumo por Mês'!$P7)</f>
        <v/>
      </c>
    </row>
    <row r="8">
      <c r="A8">
        <f>IF('Resumo por Mês'!$A8="","",'Resumo por Mês'!$A8)</f>
        <v/>
      </c>
      <c r="B8" s="45">
        <f>IF('Resumo por Mês'!$A8="","",'Resumo por Mês'!$B8)</f>
        <v/>
      </c>
      <c r="C8" s="45">
        <f>IF('Resumo por Mês'!$A8="","",'Resumo por Mês'!$E8)</f>
        <v/>
      </c>
      <c r="D8" s="46">
        <f>IF('Resumo por Mês'!$A8="","",'Resumo por Mês'!$F8)</f>
        <v/>
      </c>
      <c r="E8" s="47">
        <f>IF('Resumo por Mês'!$A8="","",'Resumo por Mês'!$G8)</f>
        <v/>
      </c>
      <c r="F8" s="45">
        <f>IF('Resumo por Mês'!$A8="","",'Resumo por Mês'!$H8)</f>
        <v/>
      </c>
      <c r="G8" s="47">
        <f>IF('Resumo por Mês'!$A8="","",'Resumo por Mês'!$I8)</f>
        <v/>
      </c>
      <c r="H8" s="45">
        <f>IF('Resumo por Mês'!$A8="","",'Resumo por Mês'!$O8)</f>
        <v/>
      </c>
      <c r="I8" s="45">
        <f>IF('Resumo por Mês'!$A8="","",'Resumo por Mês'!$P8)</f>
        <v/>
      </c>
    </row>
    <row r="9">
      <c r="A9">
        <f>IF('Resumo por Mês'!$A9="","",'Resumo por Mês'!$A9)</f>
        <v/>
      </c>
      <c r="B9" s="45">
        <f>IF('Resumo por Mês'!$A9="","",'Resumo por Mês'!$B9)</f>
        <v/>
      </c>
      <c r="C9" s="45">
        <f>IF('Resumo por Mês'!$A9="","",'Resumo por Mês'!$E9)</f>
        <v/>
      </c>
      <c r="D9" s="46">
        <f>IF('Resumo por Mês'!$A9="","",'Resumo por Mês'!$F9)</f>
        <v/>
      </c>
      <c r="E9" s="47">
        <f>IF('Resumo por Mês'!$A9="","",'Resumo por Mês'!$G9)</f>
        <v/>
      </c>
      <c r="F9" s="45">
        <f>IF('Resumo por Mês'!$A9="","",'Resumo por Mês'!$H9)</f>
        <v/>
      </c>
      <c r="G9" s="47">
        <f>IF('Resumo por Mês'!$A9="","",'Resumo por Mês'!$I9)</f>
        <v/>
      </c>
      <c r="H9" s="45">
        <f>IF('Resumo por Mês'!$A9="","",'Resumo por Mês'!$O9)</f>
        <v/>
      </c>
      <c r="I9" s="45">
        <f>IF('Resumo por Mês'!$A9="","",'Resumo por Mês'!$P9)</f>
        <v/>
      </c>
    </row>
    <row r="10">
      <c r="A10">
        <f>IF('Resumo por Mês'!$A10="","",'Resumo por Mês'!$A10)</f>
        <v/>
      </c>
      <c r="B10" s="45">
        <f>IF('Resumo por Mês'!$A10="","",'Resumo por Mês'!$B10)</f>
        <v/>
      </c>
      <c r="C10" s="45">
        <f>IF('Resumo por Mês'!$A10="","",'Resumo por Mês'!$E10)</f>
        <v/>
      </c>
      <c r="D10" s="46">
        <f>IF('Resumo por Mês'!$A10="","",'Resumo por Mês'!$F10)</f>
        <v/>
      </c>
      <c r="E10" s="47">
        <f>IF('Resumo por Mês'!$A10="","",'Resumo por Mês'!$G10)</f>
        <v/>
      </c>
      <c r="F10" s="45">
        <f>IF('Resumo por Mês'!$A10="","",'Resumo por Mês'!$H10)</f>
        <v/>
      </c>
      <c r="G10" s="47">
        <f>IF('Resumo por Mês'!$A10="","",'Resumo por Mês'!$I10)</f>
        <v/>
      </c>
      <c r="H10" s="45">
        <f>IF('Resumo por Mês'!$A10="","",'Resumo por Mês'!$O10)</f>
        <v/>
      </c>
      <c r="I10" s="45">
        <f>IF('Resumo por Mês'!$A10="","",'Resumo por Mês'!$P10)</f>
        <v/>
      </c>
    </row>
    <row r="11">
      <c r="A11">
        <f>IF('Resumo por Mês'!$A11="","",'Resumo por Mês'!$A11)</f>
        <v/>
      </c>
      <c r="B11" s="45">
        <f>IF('Resumo por Mês'!$A11="","",'Resumo por Mês'!$B11)</f>
        <v/>
      </c>
      <c r="C11" s="45">
        <f>IF('Resumo por Mês'!$A11="","",'Resumo por Mês'!$E11)</f>
        <v/>
      </c>
      <c r="D11" s="46">
        <f>IF('Resumo por Mês'!$A11="","",'Resumo por Mês'!$F11)</f>
        <v/>
      </c>
      <c r="E11" s="47">
        <f>IF('Resumo por Mês'!$A11="","",'Resumo por Mês'!$G11)</f>
        <v/>
      </c>
      <c r="F11" s="45">
        <f>IF('Resumo por Mês'!$A11="","",'Resumo por Mês'!$H11)</f>
        <v/>
      </c>
      <c r="G11" s="47">
        <f>IF('Resumo por Mês'!$A11="","",'Resumo por Mês'!$I11)</f>
        <v/>
      </c>
      <c r="H11" s="45">
        <f>IF('Resumo por Mês'!$A11="","",'Resumo por Mês'!$O11)</f>
        <v/>
      </c>
      <c r="I11" s="45">
        <f>IF('Resumo por Mês'!$A11="","",'Resumo por Mês'!$P11)</f>
        <v/>
      </c>
    </row>
    <row r="12">
      <c r="A12">
        <f>IF('Resumo por Mês'!$A12="","",'Resumo por Mês'!$A12)</f>
        <v/>
      </c>
      <c r="B12" s="45">
        <f>IF('Resumo por Mês'!$A12="","",'Resumo por Mês'!$B12)</f>
        <v/>
      </c>
      <c r="C12" s="45">
        <f>IF('Resumo por Mês'!$A12="","",'Resumo por Mês'!$E12)</f>
        <v/>
      </c>
      <c r="D12" s="46">
        <f>IF('Resumo por Mês'!$A12="","",'Resumo por Mês'!$F12)</f>
        <v/>
      </c>
      <c r="E12" s="47">
        <f>IF('Resumo por Mês'!$A12="","",'Resumo por Mês'!$G12)</f>
        <v/>
      </c>
      <c r="F12" s="45">
        <f>IF('Resumo por Mês'!$A12="","",'Resumo por Mês'!$H12)</f>
        <v/>
      </c>
      <c r="G12" s="47">
        <f>IF('Resumo por Mês'!$A12="","",'Resumo por Mês'!$I12)</f>
        <v/>
      </c>
      <c r="H12" s="45">
        <f>IF('Resumo por Mês'!$A12="","",'Resumo por Mês'!$O12)</f>
        <v/>
      </c>
      <c r="I12" s="45">
        <f>IF('Resumo por Mês'!$A12="","",'Resumo por Mês'!$P12)</f>
        <v/>
      </c>
    </row>
    <row r="13">
      <c r="A13">
        <f>IF('Resumo por Mês'!$A13="","",'Resumo por Mês'!$A13)</f>
        <v/>
      </c>
      <c r="B13" s="45">
        <f>IF('Resumo por Mês'!$A13="","",'Resumo por Mês'!$B13)</f>
        <v/>
      </c>
      <c r="C13" s="45">
        <f>IF('Resumo por Mês'!$A13="","",'Resumo por Mês'!$E13)</f>
        <v/>
      </c>
      <c r="D13" s="46">
        <f>IF('Resumo por Mês'!$A13="","",'Resumo por Mês'!$F13)</f>
        <v/>
      </c>
      <c r="E13" s="47">
        <f>IF('Resumo por Mês'!$A13="","",'Resumo por Mês'!$G13)</f>
        <v/>
      </c>
      <c r="F13" s="45">
        <f>IF('Resumo por Mês'!$A13="","",'Resumo por Mês'!$H13)</f>
        <v/>
      </c>
      <c r="G13" s="47">
        <f>IF('Resumo por Mês'!$A13="","",'Resumo por Mês'!$I13)</f>
        <v/>
      </c>
      <c r="H13" s="45">
        <f>IF('Resumo por Mês'!$A13="","",'Resumo por Mês'!$O13)</f>
        <v/>
      </c>
      <c r="I13" s="45">
        <f>IF('Resumo por Mês'!$A13="","",'Resumo por Mês'!$P13)</f>
        <v/>
      </c>
    </row>
    <row r="14">
      <c r="A14">
        <f>IF('Resumo por Mês'!$A14="","",'Resumo por Mês'!$A14)</f>
        <v/>
      </c>
      <c r="B14" s="45">
        <f>IF('Resumo por Mês'!$A14="","",'Resumo por Mês'!$B14)</f>
        <v/>
      </c>
      <c r="C14" s="45">
        <f>IF('Resumo por Mês'!$A14="","",'Resumo por Mês'!$E14)</f>
        <v/>
      </c>
      <c r="D14" s="46">
        <f>IF('Resumo por Mês'!$A14="","",'Resumo por Mês'!$F14)</f>
        <v/>
      </c>
      <c r="E14" s="47">
        <f>IF('Resumo por Mês'!$A14="","",'Resumo por Mês'!$G14)</f>
        <v/>
      </c>
      <c r="F14" s="45">
        <f>IF('Resumo por Mês'!$A14="","",'Resumo por Mês'!$H14)</f>
        <v/>
      </c>
      <c r="G14" s="47">
        <f>IF('Resumo por Mês'!$A14="","",'Resumo por Mês'!$I14)</f>
        <v/>
      </c>
      <c r="H14" s="45">
        <f>IF('Resumo por Mês'!$A14="","",'Resumo por Mês'!$O14)</f>
        <v/>
      </c>
      <c r="I14" s="45">
        <f>IF('Resumo por Mês'!$A14="","",'Resumo por Mês'!$P14)</f>
        <v/>
      </c>
    </row>
    <row r="15">
      <c r="A15">
        <f>IF('Resumo por Mês'!$A15="","",'Resumo por Mês'!$A15)</f>
        <v/>
      </c>
      <c r="B15" s="45">
        <f>IF('Resumo por Mês'!$A15="","",'Resumo por Mês'!$B15)</f>
        <v/>
      </c>
      <c r="C15" s="45">
        <f>IF('Resumo por Mês'!$A15="","",'Resumo por Mês'!$E15)</f>
        <v/>
      </c>
      <c r="D15" s="46">
        <f>IF('Resumo por Mês'!$A15="","",'Resumo por Mês'!$F15)</f>
        <v/>
      </c>
      <c r="E15" s="47">
        <f>IF('Resumo por Mês'!$A15="","",'Resumo por Mês'!$G15)</f>
        <v/>
      </c>
      <c r="F15" s="45">
        <f>IF('Resumo por Mês'!$A15="","",'Resumo por Mês'!$H15)</f>
        <v/>
      </c>
      <c r="G15" s="47">
        <f>IF('Resumo por Mês'!$A15="","",'Resumo por Mês'!$I15)</f>
        <v/>
      </c>
      <c r="H15" s="45">
        <f>IF('Resumo por Mês'!$A15="","",'Resumo por Mês'!$O15)</f>
        <v/>
      </c>
      <c r="I15" s="45">
        <f>IF('Resumo por Mês'!$A15="","",'Resumo por Mês'!$P15)</f>
        <v/>
      </c>
    </row>
    <row r="16">
      <c r="A16">
        <f>IF('Resumo por Mês'!$A16="","",'Resumo por Mês'!$A16)</f>
        <v/>
      </c>
      <c r="B16" s="45">
        <f>IF('Resumo por Mês'!$A16="","",'Resumo por Mês'!$B16)</f>
        <v/>
      </c>
      <c r="C16" s="45">
        <f>IF('Resumo por Mês'!$A16="","",'Resumo por Mês'!$E16)</f>
        <v/>
      </c>
      <c r="D16" s="46">
        <f>IF('Resumo por Mês'!$A16="","",'Resumo por Mês'!$F16)</f>
        <v/>
      </c>
      <c r="E16" s="47">
        <f>IF('Resumo por Mês'!$A16="","",'Resumo por Mês'!$G16)</f>
        <v/>
      </c>
      <c r="F16" s="45">
        <f>IF('Resumo por Mês'!$A16="","",'Resumo por Mês'!$H16)</f>
        <v/>
      </c>
      <c r="G16" s="47">
        <f>IF('Resumo por Mês'!$A16="","",'Resumo por Mês'!$I16)</f>
        <v/>
      </c>
      <c r="H16" s="45">
        <f>IF('Resumo por Mês'!$A16="","",'Resumo por Mês'!$O16)</f>
        <v/>
      </c>
      <c r="I16" s="45">
        <f>IF('Resumo por Mês'!$A16="","",'Resumo por Mês'!$P16)</f>
        <v/>
      </c>
    </row>
    <row r="17">
      <c r="A17">
        <f>IF('Resumo por Mês'!$A17="","",'Resumo por Mês'!$A17)</f>
        <v/>
      </c>
      <c r="B17" s="45">
        <f>IF('Resumo por Mês'!$A17="","",'Resumo por Mês'!$B17)</f>
        <v/>
      </c>
      <c r="C17" s="45">
        <f>IF('Resumo por Mês'!$A17="","",'Resumo por Mês'!$E17)</f>
        <v/>
      </c>
      <c r="D17" s="46">
        <f>IF('Resumo por Mês'!$A17="","",'Resumo por Mês'!$F17)</f>
        <v/>
      </c>
      <c r="E17" s="47">
        <f>IF('Resumo por Mês'!$A17="","",'Resumo por Mês'!$G17)</f>
        <v/>
      </c>
      <c r="F17" s="45">
        <f>IF('Resumo por Mês'!$A17="","",'Resumo por Mês'!$H17)</f>
        <v/>
      </c>
      <c r="G17" s="47">
        <f>IF('Resumo por Mês'!$A17="","",'Resumo por Mês'!$I17)</f>
        <v/>
      </c>
      <c r="H17" s="45">
        <f>IF('Resumo por Mês'!$A17="","",'Resumo por Mês'!$O17)</f>
        <v/>
      </c>
      <c r="I17" s="45">
        <f>IF('Resumo por Mês'!$A17="","",'Resumo por Mês'!$P17)</f>
        <v/>
      </c>
    </row>
    <row r="18">
      <c r="A18">
        <f>IF('Resumo por Mês'!$A18="","",'Resumo por Mês'!$A18)</f>
        <v/>
      </c>
      <c r="B18" s="45">
        <f>IF('Resumo por Mês'!$A18="","",'Resumo por Mês'!$B18)</f>
        <v/>
      </c>
      <c r="C18" s="45">
        <f>IF('Resumo por Mês'!$A18="","",'Resumo por Mês'!$E18)</f>
        <v/>
      </c>
      <c r="D18" s="46">
        <f>IF('Resumo por Mês'!$A18="","",'Resumo por Mês'!$F18)</f>
        <v/>
      </c>
      <c r="E18" s="47">
        <f>IF('Resumo por Mês'!$A18="","",'Resumo por Mês'!$G18)</f>
        <v/>
      </c>
      <c r="F18" s="45">
        <f>IF('Resumo por Mês'!$A18="","",'Resumo por Mês'!$H18)</f>
        <v/>
      </c>
      <c r="G18" s="47">
        <f>IF('Resumo por Mês'!$A18="","",'Resumo por Mês'!$I18)</f>
        <v/>
      </c>
      <c r="H18" s="45">
        <f>IF('Resumo por Mês'!$A18="","",'Resumo por Mês'!$O18)</f>
        <v/>
      </c>
      <c r="I18" s="45">
        <f>IF('Resumo por Mês'!$A18="","",'Resumo por Mês'!$P18)</f>
        <v/>
      </c>
    </row>
    <row r="19">
      <c r="A19">
        <f>IF('Resumo por Mês'!$A19="","",'Resumo por Mês'!$A19)</f>
        <v/>
      </c>
      <c r="B19" s="45">
        <f>IF('Resumo por Mês'!$A19="","",'Resumo por Mês'!$B19)</f>
        <v/>
      </c>
      <c r="C19" s="45">
        <f>IF('Resumo por Mês'!$A19="","",'Resumo por Mês'!$E19)</f>
        <v/>
      </c>
      <c r="D19" s="46">
        <f>IF('Resumo por Mês'!$A19="","",'Resumo por Mês'!$F19)</f>
        <v/>
      </c>
      <c r="E19" s="47">
        <f>IF('Resumo por Mês'!$A19="","",'Resumo por Mês'!$G19)</f>
        <v/>
      </c>
      <c r="F19" s="45">
        <f>IF('Resumo por Mês'!$A19="","",'Resumo por Mês'!$H19)</f>
        <v/>
      </c>
      <c r="G19" s="47">
        <f>IF('Resumo por Mês'!$A19="","",'Resumo por Mês'!$I19)</f>
        <v/>
      </c>
      <c r="H19" s="45">
        <f>IF('Resumo por Mês'!$A19="","",'Resumo por Mês'!$O19)</f>
        <v/>
      </c>
      <c r="I19" s="45">
        <f>IF('Resumo por Mês'!$A19="","",'Resumo por Mês'!$P19)</f>
        <v/>
      </c>
    </row>
    <row r="20">
      <c r="A20">
        <f>IF('Resumo por Mês'!$A20="","",'Resumo por Mês'!$A20)</f>
        <v/>
      </c>
      <c r="B20" s="45">
        <f>IF('Resumo por Mês'!$A20="","",'Resumo por Mês'!$B20)</f>
        <v/>
      </c>
      <c r="C20" s="45">
        <f>IF('Resumo por Mês'!$A20="","",'Resumo por Mês'!$E20)</f>
        <v/>
      </c>
      <c r="D20" s="46">
        <f>IF('Resumo por Mês'!$A20="","",'Resumo por Mês'!$F20)</f>
        <v/>
      </c>
      <c r="E20" s="47">
        <f>IF('Resumo por Mês'!$A20="","",'Resumo por Mês'!$G20)</f>
        <v/>
      </c>
      <c r="F20" s="45">
        <f>IF('Resumo por Mês'!$A20="","",'Resumo por Mês'!$H20)</f>
        <v/>
      </c>
      <c r="G20" s="47">
        <f>IF('Resumo por Mês'!$A20="","",'Resumo por Mês'!$I20)</f>
        <v/>
      </c>
      <c r="H20" s="45">
        <f>IF('Resumo por Mês'!$A20="","",'Resumo por Mês'!$O20)</f>
        <v/>
      </c>
      <c r="I20" s="45">
        <f>IF('Resumo por Mês'!$A20="","",'Resumo por Mês'!$P20)</f>
        <v/>
      </c>
    </row>
    <row r="21">
      <c r="A21">
        <f>IF('Resumo por Mês'!$A21="","",'Resumo por Mês'!$A21)</f>
        <v/>
      </c>
      <c r="B21" s="45">
        <f>IF('Resumo por Mês'!$A21="","",'Resumo por Mês'!$B21)</f>
        <v/>
      </c>
      <c r="C21" s="45">
        <f>IF('Resumo por Mês'!$A21="","",'Resumo por Mês'!$E21)</f>
        <v/>
      </c>
      <c r="D21" s="46">
        <f>IF('Resumo por Mês'!$A21="","",'Resumo por Mês'!$F21)</f>
        <v/>
      </c>
      <c r="E21" s="47">
        <f>IF('Resumo por Mês'!$A21="","",'Resumo por Mês'!$G21)</f>
        <v/>
      </c>
      <c r="F21" s="45">
        <f>IF('Resumo por Mês'!$A21="","",'Resumo por Mês'!$H21)</f>
        <v/>
      </c>
      <c r="G21" s="47">
        <f>IF('Resumo por Mês'!$A21="","",'Resumo por Mês'!$I21)</f>
        <v/>
      </c>
      <c r="H21" s="45">
        <f>IF('Resumo por Mês'!$A21="","",'Resumo por Mês'!$O21)</f>
        <v/>
      </c>
      <c r="I21" s="45">
        <f>IF('Resumo por Mês'!$A21="","",'Resumo por Mês'!$P21)</f>
        <v/>
      </c>
    </row>
    <row r="22">
      <c r="A22">
        <f>IF('Resumo por Mês'!$A22="","",'Resumo por Mês'!$A22)</f>
        <v/>
      </c>
      <c r="B22" s="45">
        <f>IF('Resumo por Mês'!$A22="","",'Resumo por Mês'!$B22)</f>
        <v/>
      </c>
      <c r="C22" s="45">
        <f>IF('Resumo por Mês'!$A22="","",'Resumo por Mês'!$E22)</f>
        <v/>
      </c>
      <c r="D22" s="46">
        <f>IF('Resumo por Mês'!$A22="","",'Resumo por Mês'!$F22)</f>
        <v/>
      </c>
      <c r="E22" s="47">
        <f>IF('Resumo por Mês'!$A22="","",'Resumo por Mês'!$G22)</f>
        <v/>
      </c>
      <c r="F22" s="45">
        <f>IF('Resumo por Mês'!$A22="","",'Resumo por Mês'!$H22)</f>
        <v/>
      </c>
      <c r="G22" s="47">
        <f>IF('Resumo por Mês'!$A22="","",'Resumo por Mês'!$I22)</f>
        <v/>
      </c>
      <c r="H22" s="45">
        <f>IF('Resumo por Mês'!$A22="","",'Resumo por Mês'!$O22)</f>
        <v/>
      </c>
      <c r="I22" s="45">
        <f>IF('Resumo por Mês'!$A22="","",'Resumo por Mês'!$P22)</f>
        <v/>
      </c>
    </row>
    <row r="23">
      <c r="A23">
        <f>IF('Resumo por Mês'!$A23="","",'Resumo por Mês'!$A23)</f>
        <v/>
      </c>
      <c r="B23" s="45">
        <f>IF('Resumo por Mês'!$A23="","",'Resumo por Mês'!$B23)</f>
        <v/>
      </c>
      <c r="C23" s="45">
        <f>IF('Resumo por Mês'!$A23="","",'Resumo por Mês'!$E23)</f>
        <v/>
      </c>
      <c r="D23" s="46">
        <f>IF('Resumo por Mês'!$A23="","",'Resumo por Mês'!$F23)</f>
        <v/>
      </c>
      <c r="E23" s="47">
        <f>IF('Resumo por Mês'!$A23="","",'Resumo por Mês'!$G23)</f>
        <v/>
      </c>
      <c r="F23" s="45">
        <f>IF('Resumo por Mês'!$A23="","",'Resumo por Mês'!$H23)</f>
        <v/>
      </c>
      <c r="G23" s="47">
        <f>IF('Resumo por Mês'!$A23="","",'Resumo por Mês'!$I23)</f>
        <v/>
      </c>
      <c r="H23" s="45">
        <f>IF('Resumo por Mês'!$A23="","",'Resumo por Mês'!$O23)</f>
        <v/>
      </c>
      <c r="I23" s="45">
        <f>IF('Resumo por Mês'!$A23="","",'Resumo por Mês'!$P23)</f>
        <v/>
      </c>
    </row>
    <row r="24">
      <c r="A24">
        <f>IF('Resumo por Mês'!$A24="","",'Resumo por Mês'!$A24)</f>
        <v/>
      </c>
      <c r="B24" s="45">
        <f>IF('Resumo por Mês'!$A24="","",'Resumo por Mês'!$B24)</f>
        <v/>
      </c>
      <c r="C24" s="45">
        <f>IF('Resumo por Mês'!$A24="","",'Resumo por Mês'!$E24)</f>
        <v/>
      </c>
      <c r="D24" s="46">
        <f>IF('Resumo por Mês'!$A24="","",'Resumo por Mês'!$F24)</f>
        <v/>
      </c>
      <c r="E24" s="47">
        <f>IF('Resumo por Mês'!$A24="","",'Resumo por Mês'!$G24)</f>
        <v/>
      </c>
      <c r="F24" s="45">
        <f>IF('Resumo por Mês'!$A24="","",'Resumo por Mês'!$H24)</f>
        <v/>
      </c>
      <c r="G24" s="47">
        <f>IF('Resumo por Mês'!$A24="","",'Resumo por Mês'!$I24)</f>
        <v/>
      </c>
      <c r="H24" s="45">
        <f>IF('Resumo por Mês'!$A24="","",'Resumo por Mês'!$O24)</f>
        <v/>
      </c>
      <c r="I24" s="45">
        <f>IF('Resumo por Mês'!$A24="","",'Resumo por Mês'!$P24)</f>
        <v/>
      </c>
    </row>
    <row r="25">
      <c r="A25">
        <f>IF('Resumo por Mês'!$A25="","",'Resumo por Mês'!$A25)</f>
        <v/>
      </c>
      <c r="B25" s="45">
        <f>IF('Resumo por Mês'!$A25="","",'Resumo por Mês'!$B25)</f>
        <v/>
      </c>
      <c r="C25" s="45">
        <f>IF('Resumo por Mês'!$A25="","",'Resumo por Mês'!$E25)</f>
        <v/>
      </c>
      <c r="D25" s="46">
        <f>IF('Resumo por Mês'!$A25="","",'Resumo por Mês'!$F25)</f>
        <v/>
      </c>
      <c r="E25" s="47">
        <f>IF('Resumo por Mês'!$A25="","",'Resumo por Mês'!$G25)</f>
        <v/>
      </c>
      <c r="F25" s="45">
        <f>IF('Resumo por Mês'!$A25="","",'Resumo por Mês'!$H25)</f>
        <v/>
      </c>
      <c r="G25" s="47">
        <f>IF('Resumo por Mês'!$A25="","",'Resumo por Mês'!$I25)</f>
        <v/>
      </c>
      <c r="H25" s="45">
        <f>IF('Resumo por Mês'!$A25="","",'Resumo por Mês'!$O25)</f>
        <v/>
      </c>
      <c r="I25" s="45">
        <f>IF('Resumo por Mês'!$A25="","",'Resumo por Mês'!$P25)</f>
        <v/>
      </c>
    </row>
    <row r="26">
      <c r="A26">
        <f>IF('Resumo por Mês'!$A26="","",'Resumo por Mês'!$A26)</f>
        <v/>
      </c>
      <c r="B26" s="45">
        <f>IF('Resumo por Mês'!$A26="","",'Resumo por Mês'!$B26)</f>
        <v/>
      </c>
      <c r="C26" s="45">
        <f>IF('Resumo por Mês'!$A26="","",'Resumo por Mês'!$E26)</f>
        <v/>
      </c>
      <c r="D26" s="46">
        <f>IF('Resumo por Mês'!$A26="","",'Resumo por Mês'!$F26)</f>
        <v/>
      </c>
      <c r="E26" s="47">
        <f>IF('Resumo por Mês'!$A26="","",'Resumo por Mês'!$G26)</f>
        <v/>
      </c>
      <c r="F26" s="45">
        <f>IF('Resumo por Mês'!$A26="","",'Resumo por Mês'!$H26)</f>
        <v/>
      </c>
      <c r="G26" s="47">
        <f>IF('Resumo por Mês'!$A26="","",'Resumo por Mês'!$I26)</f>
        <v/>
      </c>
      <c r="H26" s="45">
        <f>IF('Resumo por Mês'!$A26="","",'Resumo por Mês'!$O26)</f>
        <v/>
      </c>
      <c r="I26" s="45">
        <f>IF('Resumo por Mês'!$A26="","",'Resumo por Mês'!$P26)</f>
        <v/>
      </c>
    </row>
    <row r="27">
      <c r="A27">
        <f>IF('Resumo por Mês'!$A27="","",'Resumo por Mês'!$A27)</f>
        <v/>
      </c>
      <c r="B27" s="45">
        <f>IF('Resumo por Mês'!$A27="","",'Resumo por Mês'!$B27)</f>
        <v/>
      </c>
      <c r="C27" s="45">
        <f>IF('Resumo por Mês'!$A27="","",'Resumo por Mês'!$E27)</f>
        <v/>
      </c>
      <c r="D27" s="46">
        <f>IF('Resumo por Mês'!$A27="","",'Resumo por Mês'!$F27)</f>
        <v/>
      </c>
      <c r="E27" s="47">
        <f>IF('Resumo por Mês'!$A27="","",'Resumo por Mês'!$G27)</f>
        <v/>
      </c>
      <c r="F27" s="45">
        <f>IF('Resumo por Mês'!$A27="","",'Resumo por Mês'!$H27)</f>
        <v/>
      </c>
      <c r="G27" s="47">
        <f>IF('Resumo por Mês'!$A27="","",'Resumo por Mês'!$I27)</f>
        <v/>
      </c>
      <c r="H27" s="45">
        <f>IF('Resumo por Mês'!$A27="","",'Resumo por Mês'!$O27)</f>
        <v/>
      </c>
      <c r="I27" s="45">
        <f>IF('Resumo por Mês'!$A27="","",'Resumo por Mês'!$P27)</f>
        <v/>
      </c>
    </row>
    <row r="28">
      <c r="A28">
        <f>IF('Resumo por Mês'!$A28="","",'Resumo por Mês'!$A28)</f>
        <v/>
      </c>
      <c r="B28" s="45">
        <f>IF('Resumo por Mês'!$A28="","",'Resumo por Mês'!$B28)</f>
        <v/>
      </c>
      <c r="C28" s="45">
        <f>IF('Resumo por Mês'!$A28="","",'Resumo por Mês'!$E28)</f>
        <v/>
      </c>
      <c r="D28" s="46">
        <f>IF('Resumo por Mês'!$A28="","",'Resumo por Mês'!$F28)</f>
        <v/>
      </c>
      <c r="E28" s="47">
        <f>IF('Resumo por Mês'!$A28="","",'Resumo por Mês'!$G28)</f>
        <v/>
      </c>
      <c r="F28" s="45">
        <f>IF('Resumo por Mês'!$A28="","",'Resumo por Mês'!$H28)</f>
        <v/>
      </c>
      <c r="G28" s="47">
        <f>IF('Resumo por Mês'!$A28="","",'Resumo por Mês'!$I28)</f>
        <v/>
      </c>
      <c r="H28" s="45">
        <f>IF('Resumo por Mês'!$A28="","",'Resumo por Mês'!$O28)</f>
        <v/>
      </c>
      <c r="I28" s="45">
        <f>IF('Resumo por Mês'!$A28="","",'Resumo por Mês'!$P28)</f>
        <v/>
      </c>
    </row>
    <row r="29">
      <c r="A29">
        <f>IF('Resumo por Mês'!$A29="","",'Resumo por Mês'!$A29)</f>
        <v/>
      </c>
      <c r="B29" s="45">
        <f>IF('Resumo por Mês'!$A29="","",'Resumo por Mês'!$B29)</f>
        <v/>
      </c>
      <c r="C29" s="45">
        <f>IF('Resumo por Mês'!$A29="","",'Resumo por Mês'!$E29)</f>
        <v/>
      </c>
      <c r="D29" s="46">
        <f>IF('Resumo por Mês'!$A29="","",'Resumo por Mês'!$F29)</f>
        <v/>
      </c>
      <c r="E29" s="47">
        <f>IF('Resumo por Mês'!$A29="","",'Resumo por Mês'!$G29)</f>
        <v/>
      </c>
      <c r="F29" s="45">
        <f>IF('Resumo por Mês'!$A29="","",'Resumo por Mês'!$H29)</f>
        <v/>
      </c>
      <c r="G29" s="47">
        <f>IF('Resumo por Mês'!$A29="","",'Resumo por Mês'!$I29)</f>
        <v/>
      </c>
      <c r="H29" s="45">
        <f>IF('Resumo por Mês'!$A29="","",'Resumo por Mês'!$O29)</f>
        <v/>
      </c>
      <c r="I29" s="45">
        <f>IF('Resumo por Mês'!$A29="","",'Resumo por Mês'!$P29)</f>
        <v/>
      </c>
    </row>
    <row r="30">
      <c r="A30">
        <f>IF('Resumo por Mês'!$A30="","",'Resumo por Mês'!$A30)</f>
        <v/>
      </c>
      <c r="B30" s="45">
        <f>IF('Resumo por Mês'!$A30="","",'Resumo por Mês'!$B30)</f>
        <v/>
      </c>
      <c r="C30" s="45">
        <f>IF('Resumo por Mês'!$A30="","",'Resumo por Mês'!$E30)</f>
        <v/>
      </c>
      <c r="D30" s="46">
        <f>IF('Resumo por Mês'!$A30="","",'Resumo por Mês'!$F30)</f>
        <v/>
      </c>
      <c r="E30" s="47">
        <f>IF('Resumo por Mês'!$A30="","",'Resumo por Mês'!$G30)</f>
        <v/>
      </c>
      <c r="F30" s="45">
        <f>IF('Resumo por Mês'!$A30="","",'Resumo por Mês'!$H30)</f>
        <v/>
      </c>
      <c r="G30" s="47">
        <f>IF('Resumo por Mês'!$A30="","",'Resumo por Mês'!$I30)</f>
        <v/>
      </c>
      <c r="H30" s="45">
        <f>IF('Resumo por Mês'!$A30="","",'Resumo por Mês'!$O30)</f>
        <v/>
      </c>
      <c r="I30" s="45">
        <f>IF('Resumo por Mês'!$A30="","",'Resumo por Mês'!$P30)</f>
        <v/>
      </c>
    </row>
    <row r="31">
      <c r="A31">
        <f>IF('Resumo por Mês'!$A31="","",'Resumo por Mês'!$A31)</f>
        <v/>
      </c>
      <c r="B31" s="45">
        <f>IF('Resumo por Mês'!$A31="","",'Resumo por Mês'!$B31)</f>
        <v/>
      </c>
      <c r="C31" s="45">
        <f>IF('Resumo por Mês'!$A31="","",'Resumo por Mês'!$E31)</f>
        <v/>
      </c>
      <c r="D31" s="46">
        <f>IF('Resumo por Mês'!$A31="","",'Resumo por Mês'!$F31)</f>
        <v/>
      </c>
      <c r="E31" s="47">
        <f>IF('Resumo por Mês'!$A31="","",'Resumo por Mês'!$G31)</f>
        <v/>
      </c>
      <c r="F31" s="45">
        <f>IF('Resumo por Mês'!$A31="","",'Resumo por Mês'!$H31)</f>
        <v/>
      </c>
      <c r="G31" s="47">
        <f>IF('Resumo por Mês'!$A31="","",'Resumo por Mês'!$I31)</f>
        <v/>
      </c>
      <c r="H31" s="45">
        <f>IF('Resumo por Mês'!$A31="","",'Resumo por Mês'!$O31)</f>
        <v/>
      </c>
      <c r="I31" s="45">
        <f>IF('Resumo por Mês'!$A31="","",'Resumo por Mês'!$P31)</f>
        <v/>
      </c>
    </row>
    <row r="32">
      <c r="A32">
        <f>IF('Resumo por Mês'!$A32="","",'Resumo por Mês'!$A32)</f>
        <v/>
      </c>
      <c r="B32" s="45">
        <f>IF('Resumo por Mês'!$A32="","",'Resumo por Mês'!$B32)</f>
        <v/>
      </c>
      <c r="C32" s="45">
        <f>IF('Resumo por Mês'!$A32="","",'Resumo por Mês'!$E32)</f>
        <v/>
      </c>
      <c r="D32" s="46">
        <f>IF('Resumo por Mês'!$A32="","",'Resumo por Mês'!$F32)</f>
        <v/>
      </c>
      <c r="E32" s="47">
        <f>IF('Resumo por Mês'!$A32="","",'Resumo por Mês'!$G32)</f>
        <v/>
      </c>
      <c r="F32" s="45">
        <f>IF('Resumo por Mês'!$A32="","",'Resumo por Mês'!$H32)</f>
        <v/>
      </c>
      <c r="G32" s="47">
        <f>IF('Resumo por Mês'!$A32="","",'Resumo por Mês'!$I32)</f>
        <v/>
      </c>
      <c r="H32" s="45">
        <f>IF('Resumo por Mês'!$A32="","",'Resumo por Mês'!$O32)</f>
        <v/>
      </c>
      <c r="I32" s="45">
        <f>IF('Resumo por Mês'!$A32="","",'Resumo por Mês'!$P32)</f>
        <v/>
      </c>
    </row>
    <row r="33">
      <c r="A33">
        <f>IF('Resumo por Mês'!$A33="","",'Resumo por Mês'!$A33)</f>
        <v/>
      </c>
      <c r="B33" s="45">
        <f>IF('Resumo por Mês'!$A33="","",'Resumo por Mês'!$B33)</f>
        <v/>
      </c>
      <c r="C33" s="45">
        <f>IF('Resumo por Mês'!$A33="","",'Resumo por Mês'!$E33)</f>
        <v/>
      </c>
      <c r="D33" s="46">
        <f>IF('Resumo por Mês'!$A33="","",'Resumo por Mês'!$F33)</f>
        <v/>
      </c>
      <c r="E33" s="47">
        <f>IF('Resumo por Mês'!$A33="","",'Resumo por Mês'!$G33)</f>
        <v/>
      </c>
      <c r="F33" s="45">
        <f>IF('Resumo por Mês'!$A33="","",'Resumo por Mês'!$H33)</f>
        <v/>
      </c>
      <c r="G33" s="47">
        <f>IF('Resumo por Mês'!$A33="","",'Resumo por Mês'!$I33)</f>
        <v/>
      </c>
      <c r="H33" s="45">
        <f>IF('Resumo por Mês'!$A33="","",'Resumo por Mês'!$O33)</f>
        <v/>
      </c>
      <c r="I33" s="45">
        <f>IF('Resumo por Mês'!$A33="","",'Resumo por Mês'!$P33)</f>
        <v/>
      </c>
    </row>
    <row r="34">
      <c r="A34">
        <f>IF('Resumo por Mês'!$A34="","",'Resumo por Mês'!$A34)</f>
        <v/>
      </c>
      <c r="B34" s="45">
        <f>IF('Resumo por Mês'!$A34="","",'Resumo por Mês'!$B34)</f>
        <v/>
      </c>
      <c r="C34" s="45">
        <f>IF('Resumo por Mês'!$A34="","",'Resumo por Mês'!$E34)</f>
        <v/>
      </c>
      <c r="D34" s="46">
        <f>IF('Resumo por Mês'!$A34="","",'Resumo por Mês'!$F34)</f>
        <v/>
      </c>
      <c r="E34" s="47">
        <f>IF('Resumo por Mês'!$A34="","",'Resumo por Mês'!$G34)</f>
        <v/>
      </c>
      <c r="F34" s="45">
        <f>IF('Resumo por Mês'!$A34="","",'Resumo por Mês'!$H34)</f>
        <v/>
      </c>
      <c r="G34" s="47">
        <f>IF('Resumo por Mês'!$A34="","",'Resumo por Mês'!$I34)</f>
        <v/>
      </c>
      <c r="H34" s="45">
        <f>IF('Resumo por Mês'!$A34="","",'Resumo por Mês'!$O34)</f>
        <v/>
      </c>
      <c r="I34" s="45">
        <f>IF('Resumo por Mês'!$A34="","",'Resumo por Mês'!$P34)</f>
        <v/>
      </c>
    </row>
    <row r="35">
      <c r="A35">
        <f>IF('Resumo por Mês'!$A35="","",'Resumo por Mês'!$A35)</f>
        <v/>
      </c>
      <c r="B35" s="45">
        <f>IF('Resumo por Mês'!$A35="","",'Resumo por Mês'!$B35)</f>
        <v/>
      </c>
      <c r="C35" s="45">
        <f>IF('Resumo por Mês'!$A35="","",'Resumo por Mês'!$E35)</f>
        <v/>
      </c>
      <c r="D35" s="46">
        <f>IF('Resumo por Mês'!$A35="","",'Resumo por Mês'!$F35)</f>
        <v/>
      </c>
      <c r="E35" s="47">
        <f>IF('Resumo por Mês'!$A35="","",'Resumo por Mês'!$G35)</f>
        <v/>
      </c>
      <c r="F35" s="45">
        <f>IF('Resumo por Mês'!$A35="","",'Resumo por Mês'!$H35)</f>
        <v/>
      </c>
      <c r="G35" s="47">
        <f>IF('Resumo por Mês'!$A35="","",'Resumo por Mês'!$I35)</f>
        <v/>
      </c>
      <c r="H35" s="45">
        <f>IF('Resumo por Mês'!$A35="","",'Resumo por Mês'!$O35)</f>
        <v/>
      </c>
      <c r="I35" s="45">
        <f>IF('Resumo por Mês'!$A35="","",'Resumo por Mês'!$P35)</f>
        <v/>
      </c>
    </row>
    <row r="36">
      <c r="A36">
        <f>IF('Resumo por Mês'!$A36="","",'Resumo por Mês'!$A36)</f>
        <v/>
      </c>
      <c r="B36" s="45">
        <f>IF('Resumo por Mês'!$A36="","",'Resumo por Mês'!$B36)</f>
        <v/>
      </c>
      <c r="C36" s="45">
        <f>IF('Resumo por Mês'!$A36="","",'Resumo por Mês'!$E36)</f>
        <v/>
      </c>
      <c r="D36" s="46">
        <f>IF('Resumo por Mês'!$A36="","",'Resumo por Mês'!$F36)</f>
        <v/>
      </c>
      <c r="E36" s="47">
        <f>IF('Resumo por Mês'!$A36="","",'Resumo por Mês'!$G36)</f>
        <v/>
      </c>
      <c r="F36" s="45">
        <f>IF('Resumo por Mês'!$A36="","",'Resumo por Mês'!$H36)</f>
        <v/>
      </c>
      <c r="G36" s="47">
        <f>IF('Resumo por Mês'!$A36="","",'Resumo por Mês'!$I36)</f>
        <v/>
      </c>
      <c r="H36" s="45">
        <f>IF('Resumo por Mês'!$A36="","",'Resumo por Mês'!$O36)</f>
        <v/>
      </c>
      <c r="I36" s="45">
        <f>IF('Resumo por Mês'!$A36="","",'Resumo por Mês'!$P36)</f>
        <v/>
      </c>
    </row>
    <row r="37">
      <c r="A37">
        <f>IF('Resumo por Mês'!$A37="","",'Resumo por Mês'!$A37)</f>
        <v/>
      </c>
      <c r="B37" s="45">
        <f>IF('Resumo por Mês'!$A37="","",'Resumo por Mês'!$B37)</f>
        <v/>
      </c>
      <c r="C37" s="45">
        <f>IF('Resumo por Mês'!$A37="","",'Resumo por Mês'!$E37)</f>
        <v/>
      </c>
      <c r="D37" s="46">
        <f>IF('Resumo por Mês'!$A37="","",'Resumo por Mês'!$F37)</f>
        <v/>
      </c>
      <c r="E37" s="47">
        <f>IF('Resumo por Mês'!$A37="","",'Resumo por Mês'!$G37)</f>
        <v/>
      </c>
      <c r="F37" s="45">
        <f>IF('Resumo por Mês'!$A37="","",'Resumo por Mês'!$H37)</f>
        <v/>
      </c>
      <c r="G37" s="47">
        <f>IF('Resumo por Mês'!$A37="","",'Resumo por Mês'!$I37)</f>
        <v/>
      </c>
      <c r="H37" s="45">
        <f>IF('Resumo por Mês'!$A37="","",'Resumo por Mês'!$O37)</f>
        <v/>
      </c>
      <c r="I37" s="45">
        <f>IF('Resumo por Mês'!$A37="","",'Resumo por Mês'!$P37)</f>
        <v/>
      </c>
    </row>
    <row r="38">
      <c r="A38">
        <f>IF('Resumo por Mês'!$A38="","",'Resumo por Mês'!$A38)</f>
        <v/>
      </c>
      <c r="B38" s="45">
        <f>IF('Resumo por Mês'!$A38="","",'Resumo por Mês'!$B38)</f>
        <v/>
      </c>
      <c r="C38" s="45">
        <f>IF('Resumo por Mês'!$A38="","",'Resumo por Mês'!$E38)</f>
        <v/>
      </c>
      <c r="D38" s="46">
        <f>IF('Resumo por Mês'!$A38="","",'Resumo por Mês'!$F38)</f>
        <v/>
      </c>
      <c r="E38" s="47">
        <f>IF('Resumo por Mês'!$A38="","",'Resumo por Mês'!$G38)</f>
        <v/>
      </c>
      <c r="F38" s="45">
        <f>IF('Resumo por Mês'!$A38="","",'Resumo por Mês'!$H38)</f>
        <v/>
      </c>
      <c r="G38" s="47">
        <f>IF('Resumo por Mês'!$A38="","",'Resumo por Mês'!$I38)</f>
        <v/>
      </c>
      <c r="H38" s="45">
        <f>IF('Resumo por Mês'!$A38="","",'Resumo por Mês'!$O38)</f>
        <v/>
      </c>
      <c r="I38" s="45">
        <f>IF('Resumo por Mês'!$A38="","",'Resumo por Mês'!$P38)</f>
        <v/>
      </c>
    </row>
    <row r="39">
      <c r="A39">
        <f>IF('Resumo por Mês'!$A39="","",'Resumo por Mês'!$A39)</f>
        <v/>
      </c>
      <c r="B39" s="45">
        <f>IF('Resumo por Mês'!$A39="","",'Resumo por Mês'!$B39)</f>
        <v/>
      </c>
      <c r="C39" s="45">
        <f>IF('Resumo por Mês'!$A39="","",'Resumo por Mês'!$E39)</f>
        <v/>
      </c>
      <c r="D39" s="46">
        <f>IF('Resumo por Mês'!$A39="","",'Resumo por Mês'!$F39)</f>
        <v/>
      </c>
      <c r="E39" s="47">
        <f>IF('Resumo por Mês'!$A39="","",'Resumo por Mês'!$G39)</f>
        <v/>
      </c>
      <c r="F39" s="45">
        <f>IF('Resumo por Mês'!$A39="","",'Resumo por Mês'!$H39)</f>
        <v/>
      </c>
      <c r="G39" s="47">
        <f>IF('Resumo por Mês'!$A39="","",'Resumo por Mês'!$I39)</f>
        <v/>
      </c>
      <c r="H39" s="45">
        <f>IF('Resumo por Mês'!$A39="","",'Resumo por Mês'!$O39)</f>
        <v/>
      </c>
      <c r="I39" s="45">
        <f>IF('Resumo por Mês'!$A39="","",'Resumo por Mês'!$P39)</f>
        <v/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G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30" customWidth="1" min="5" max="5"/>
    <col width="26" customWidth="1" min="6" max="6"/>
    <col width="24" customWidth="1" min="7" max="7"/>
  </cols>
  <sheetData>
    <row r="1" ht="30" customHeight="1">
      <c r="A1" s="1" t="inlineStr">
        <is>
          <t>FROTA E MANUTENÇÃO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Situação atual de cada equipamento. Fonte: abas Equipamentos e Manutenções.</t>
        </is>
      </c>
    </row>
    <row r="3" ht="30" customHeight="1">
      <c r="A3" s="30" t="inlineStr">
        <is>
          <t>Equipamento</t>
        </is>
      </c>
      <c r="B3" s="30" t="inlineStr">
        <is>
          <t>Tipo</t>
        </is>
      </c>
      <c r="C3" s="30" t="inlineStr">
        <is>
          <t>Situação</t>
        </is>
      </c>
      <c r="D3" s="30" t="inlineStr">
        <is>
          <t>Horímetro atual</t>
        </is>
      </c>
      <c r="E3" s="30" t="inlineStr">
        <is>
          <t>KM atual</t>
        </is>
      </c>
      <c r="F3" s="30" t="inlineStr">
        <is>
          <t>Manutenções no período</t>
        </is>
      </c>
      <c r="G3" s="30" t="inlineStr">
        <is>
          <t>Última manutenção</t>
        </is>
      </c>
    </row>
    <row r="4">
      <c r="A4" s="31">
        <f>IF(Equipamentos!$A4="","",Equipamentos!$A4)</f>
        <v/>
      </c>
      <c r="B4" s="32">
        <f>IF(Equipamentos!$A4="","",Equipamentos!$B4)</f>
        <v/>
      </c>
      <c r="C4" s="32">
        <f>IF(Equipamentos!$A4="","",Equipamentos!$D4)</f>
        <v/>
      </c>
      <c r="D4" s="34">
        <f>IF(Equipamentos!$A4="","",Equipamentos!$E4)</f>
        <v/>
      </c>
      <c r="E4" s="33">
        <f>IF(Equipamentos!$A4="","",Equipamentos!$F4)</f>
        <v/>
      </c>
      <c r="F4" s="33">
        <f>IF(Equipamentos!$A4="","",COUNTIFS(Manutenções!$B$4:$B$500,$A4,Manutenções!$A$4:$A$500,"&gt;="&amp;Diretoria!$B$4,Manutenções!$A$4:$A$500,"&lt;="&amp;Diretoria!$D$4))</f>
        <v/>
      </c>
      <c r="G4" s="48">
        <f>IF(Equipamentos!$A4="","",IF(SUMPRODUCT(MAX((Manutenções!$B$4:$B$500=$A4)*(Manutenções!$A$4:$A$500)))=0,"—",SUMPRODUCT(MAX((Manutenções!$B$4:$B$500=$A4)*(Manutenções!$A$4:$A$500)))))</f>
        <v/>
      </c>
    </row>
    <row r="5">
      <c r="A5" s="22">
        <f>IF(Equipamentos!$A5="","",Equipamentos!$A5)</f>
        <v/>
      </c>
      <c r="B5" s="36">
        <f>IF(Equipamentos!$A5="","",Equipamentos!$B5)</f>
        <v/>
      </c>
      <c r="C5" s="36">
        <f>IF(Equipamentos!$A5="","",Equipamentos!$D5)</f>
        <v/>
      </c>
      <c r="D5" s="38">
        <f>IF(Equipamentos!$A5="","",Equipamentos!$E5)</f>
        <v/>
      </c>
      <c r="E5" s="37">
        <f>IF(Equipamentos!$A5="","",Equipamentos!$F5)</f>
        <v/>
      </c>
      <c r="F5" s="37">
        <f>IF(Equipamentos!$A5="","",COUNTIFS(Manutenções!$B$4:$B$500,$A5,Manutenções!$A$4:$A$500,"&gt;="&amp;Diretoria!$B$4,Manutenções!$A$4:$A$500,"&lt;="&amp;Diretoria!$D$4))</f>
        <v/>
      </c>
      <c r="G5" s="49">
        <f>IF(Equipamentos!$A5="","",IF(SUMPRODUCT(MAX((Manutenções!$B$4:$B$500=$A5)*(Manutenções!$A$4:$A$500)))=0,"—",SUMPRODUCT(MAX((Manutenções!$B$4:$B$500=$A5)*(Manutenções!$A$4:$A$500)))))</f>
        <v/>
      </c>
    </row>
    <row r="6">
      <c r="A6" s="31">
        <f>IF(Equipamentos!$A6="","",Equipamentos!$A6)</f>
        <v/>
      </c>
      <c r="B6" s="32">
        <f>IF(Equipamentos!$A6="","",Equipamentos!$B6)</f>
        <v/>
      </c>
      <c r="C6" s="32">
        <f>IF(Equipamentos!$A6="","",Equipamentos!$D6)</f>
        <v/>
      </c>
      <c r="D6" s="34">
        <f>IF(Equipamentos!$A6="","",Equipamentos!$E6)</f>
        <v/>
      </c>
      <c r="E6" s="33">
        <f>IF(Equipamentos!$A6="","",Equipamentos!$F6)</f>
        <v/>
      </c>
      <c r="F6" s="33">
        <f>IF(Equipamentos!$A6="","",COUNTIFS(Manutenções!$B$4:$B$500,$A6,Manutenções!$A$4:$A$500,"&gt;="&amp;Diretoria!$B$4,Manutenções!$A$4:$A$500,"&lt;="&amp;Diretoria!$D$4))</f>
        <v/>
      </c>
      <c r="G6" s="48">
        <f>IF(Equipamentos!$A6="","",IF(SUMPRODUCT(MAX((Manutenções!$B$4:$B$500=$A6)*(Manutenções!$A$4:$A$500)))=0,"—",SUMPRODUCT(MAX((Manutenções!$B$4:$B$500=$A6)*(Manutenções!$A$4:$A$500)))))</f>
        <v/>
      </c>
    </row>
    <row r="7">
      <c r="A7" s="22">
        <f>IF(Equipamentos!$A7="","",Equipamentos!$A7)</f>
        <v/>
      </c>
      <c r="B7" s="36">
        <f>IF(Equipamentos!$A7="","",Equipamentos!$B7)</f>
        <v/>
      </c>
      <c r="C7" s="36">
        <f>IF(Equipamentos!$A7="","",Equipamentos!$D7)</f>
        <v/>
      </c>
      <c r="D7" s="38">
        <f>IF(Equipamentos!$A7="","",Equipamentos!$E7)</f>
        <v/>
      </c>
      <c r="E7" s="37">
        <f>IF(Equipamentos!$A7="","",Equipamentos!$F7)</f>
        <v/>
      </c>
      <c r="F7" s="37">
        <f>IF(Equipamentos!$A7="","",COUNTIFS(Manutenções!$B$4:$B$500,$A7,Manutenções!$A$4:$A$500,"&gt;="&amp;Diretoria!$B$4,Manutenções!$A$4:$A$500,"&lt;="&amp;Diretoria!$D$4))</f>
        <v/>
      </c>
      <c r="G7" s="49">
        <f>IF(Equipamentos!$A7="","",IF(SUMPRODUCT(MAX((Manutenções!$B$4:$B$500=$A7)*(Manutenções!$A$4:$A$500)))=0,"—",SUMPRODUCT(MAX((Manutenções!$B$4:$B$500=$A7)*(Manutenções!$A$4:$A$500)))))</f>
        <v/>
      </c>
    </row>
    <row r="8">
      <c r="A8" s="31">
        <f>IF(Equipamentos!$A8="","",Equipamentos!$A8)</f>
        <v/>
      </c>
      <c r="B8" s="32">
        <f>IF(Equipamentos!$A8="","",Equipamentos!$B8)</f>
        <v/>
      </c>
      <c r="C8" s="32">
        <f>IF(Equipamentos!$A8="","",Equipamentos!$D8)</f>
        <v/>
      </c>
      <c r="D8" s="34">
        <f>IF(Equipamentos!$A8="","",Equipamentos!$E8)</f>
        <v/>
      </c>
      <c r="E8" s="33">
        <f>IF(Equipamentos!$A8="","",Equipamentos!$F8)</f>
        <v/>
      </c>
      <c r="F8" s="33">
        <f>IF(Equipamentos!$A8="","",COUNTIFS(Manutenções!$B$4:$B$500,$A8,Manutenções!$A$4:$A$500,"&gt;="&amp;Diretoria!$B$4,Manutenções!$A$4:$A$500,"&lt;="&amp;Diretoria!$D$4))</f>
        <v/>
      </c>
      <c r="G8" s="48">
        <f>IF(Equipamentos!$A8="","",IF(SUMPRODUCT(MAX((Manutenções!$B$4:$B$500=$A8)*(Manutenções!$A$4:$A$500)))=0,"—",SUMPRODUCT(MAX((Manutenções!$B$4:$B$500=$A8)*(Manutenções!$A$4:$A$500)))))</f>
        <v/>
      </c>
    </row>
    <row r="9">
      <c r="A9" s="22">
        <f>IF(Equipamentos!$A9="","",Equipamentos!$A9)</f>
        <v/>
      </c>
      <c r="B9" s="36">
        <f>IF(Equipamentos!$A9="","",Equipamentos!$B9)</f>
        <v/>
      </c>
      <c r="C9" s="36">
        <f>IF(Equipamentos!$A9="","",Equipamentos!$D9)</f>
        <v/>
      </c>
      <c r="D9" s="38">
        <f>IF(Equipamentos!$A9="","",Equipamentos!$E9)</f>
        <v/>
      </c>
      <c r="E9" s="37">
        <f>IF(Equipamentos!$A9="","",Equipamentos!$F9)</f>
        <v/>
      </c>
      <c r="F9" s="37">
        <f>IF(Equipamentos!$A9="","",COUNTIFS(Manutenções!$B$4:$B$500,$A9,Manutenções!$A$4:$A$500,"&gt;="&amp;Diretoria!$B$4,Manutenções!$A$4:$A$500,"&lt;="&amp;Diretoria!$D$4))</f>
        <v/>
      </c>
      <c r="G9" s="49">
        <f>IF(Equipamentos!$A9="","",IF(SUMPRODUCT(MAX((Manutenções!$B$4:$B$500=$A9)*(Manutenções!$A$4:$A$500)))=0,"—",SUMPRODUCT(MAX((Manutenções!$B$4:$B$500=$A9)*(Manutenções!$A$4:$A$500)))))</f>
        <v/>
      </c>
    </row>
    <row r="10">
      <c r="A10" s="31">
        <f>IF(Equipamentos!$A10="","",Equipamentos!$A10)</f>
        <v/>
      </c>
      <c r="B10" s="32">
        <f>IF(Equipamentos!$A10="","",Equipamentos!$B10)</f>
        <v/>
      </c>
      <c r="C10" s="32">
        <f>IF(Equipamentos!$A10="","",Equipamentos!$D10)</f>
        <v/>
      </c>
      <c r="D10" s="34">
        <f>IF(Equipamentos!$A10="","",Equipamentos!$E10)</f>
        <v/>
      </c>
      <c r="E10" s="33">
        <f>IF(Equipamentos!$A10="","",Equipamentos!$F10)</f>
        <v/>
      </c>
      <c r="F10" s="33">
        <f>IF(Equipamentos!$A10="","",COUNTIFS(Manutenções!$B$4:$B$500,$A10,Manutenções!$A$4:$A$500,"&gt;="&amp;Diretoria!$B$4,Manutenções!$A$4:$A$500,"&lt;="&amp;Diretoria!$D$4))</f>
        <v/>
      </c>
      <c r="G10" s="48">
        <f>IF(Equipamentos!$A10="","",IF(SUMPRODUCT(MAX((Manutenções!$B$4:$B$500=$A10)*(Manutenções!$A$4:$A$500)))=0,"—",SUMPRODUCT(MAX((Manutenções!$B$4:$B$500=$A10)*(Manutenções!$A$4:$A$500)))))</f>
        <v/>
      </c>
    </row>
    <row r="11">
      <c r="A11" s="22">
        <f>IF(Equipamentos!$A11="","",Equipamentos!$A11)</f>
        <v/>
      </c>
      <c r="B11" s="36">
        <f>IF(Equipamentos!$A11="","",Equipamentos!$B11)</f>
        <v/>
      </c>
      <c r="C11" s="36">
        <f>IF(Equipamentos!$A11="","",Equipamentos!$D11)</f>
        <v/>
      </c>
      <c r="D11" s="38">
        <f>IF(Equipamentos!$A11="","",Equipamentos!$E11)</f>
        <v/>
      </c>
      <c r="E11" s="37">
        <f>IF(Equipamentos!$A11="","",Equipamentos!$F11)</f>
        <v/>
      </c>
      <c r="F11" s="37">
        <f>IF(Equipamentos!$A11="","",COUNTIFS(Manutenções!$B$4:$B$500,$A11,Manutenções!$A$4:$A$500,"&gt;="&amp;Diretoria!$B$4,Manutenções!$A$4:$A$500,"&lt;="&amp;Diretoria!$D$4))</f>
        <v/>
      </c>
      <c r="G11" s="49">
        <f>IF(Equipamentos!$A11="","",IF(SUMPRODUCT(MAX((Manutenções!$B$4:$B$500=$A11)*(Manutenções!$A$4:$A$500)))=0,"—",SUMPRODUCT(MAX((Manutenções!$B$4:$B$500=$A11)*(Manutenções!$A$4:$A$500)))))</f>
        <v/>
      </c>
    </row>
    <row r="12">
      <c r="A12" s="31">
        <f>IF(Equipamentos!$A12="","",Equipamentos!$A12)</f>
        <v/>
      </c>
      <c r="B12" s="32">
        <f>IF(Equipamentos!$A12="","",Equipamentos!$B12)</f>
        <v/>
      </c>
      <c r="C12" s="32">
        <f>IF(Equipamentos!$A12="","",Equipamentos!$D12)</f>
        <v/>
      </c>
      <c r="D12" s="34">
        <f>IF(Equipamentos!$A12="","",Equipamentos!$E12)</f>
        <v/>
      </c>
      <c r="E12" s="33">
        <f>IF(Equipamentos!$A12="","",Equipamentos!$F12)</f>
        <v/>
      </c>
      <c r="F12" s="33">
        <f>IF(Equipamentos!$A12="","",COUNTIFS(Manutenções!$B$4:$B$500,$A12,Manutenções!$A$4:$A$500,"&gt;="&amp;Diretoria!$B$4,Manutenções!$A$4:$A$500,"&lt;="&amp;Diretoria!$D$4))</f>
        <v/>
      </c>
      <c r="G12" s="48">
        <f>IF(Equipamentos!$A12="","",IF(SUMPRODUCT(MAX((Manutenções!$B$4:$B$500=$A12)*(Manutenções!$A$4:$A$500)))=0,"—",SUMPRODUCT(MAX((Manutenções!$B$4:$B$500=$A12)*(Manutenções!$A$4:$A$500)))))</f>
        <v/>
      </c>
    </row>
    <row r="13">
      <c r="A13" s="22">
        <f>IF(Equipamentos!$A13="","",Equipamentos!$A13)</f>
        <v/>
      </c>
      <c r="B13" s="36">
        <f>IF(Equipamentos!$A13="","",Equipamentos!$B13)</f>
        <v/>
      </c>
      <c r="C13" s="36">
        <f>IF(Equipamentos!$A13="","",Equipamentos!$D13)</f>
        <v/>
      </c>
      <c r="D13" s="38">
        <f>IF(Equipamentos!$A13="","",Equipamentos!$E13)</f>
        <v/>
      </c>
      <c r="E13" s="37">
        <f>IF(Equipamentos!$A13="","",Equipamentos!$F13)</f>
        <v/>
      </c>
      <c r="F13" s="37">
        <f>IF(Equipamentos!$A13="","",COUNTIFS(Manutenções!$B$4:$B$500,$A13,Manutenções!$A$4:$A$500,"&gt;="&amp;Diretoria!$B$4,Manutenções!$A$4:$A$500,"&lt;="&amp;Diretoria!$D$4))</f>
        <v/>
      </c>
      <c r="G13" s="49">
        <f>IF(Equipamentos!$A13="","",IF(SUMPRODUCT(MAX((Manutenções!$B$4:$B$500=$A13)*(Manutenções!$A$4:$A$500)))=0,"—",SUMPRODUCT(MAX((Manutenções!$B$4:$B$500=$A13)*(Manutenções!$A$4:$A$500)))))</f>
        <v/>
      </c>
    </row>
    <row r="14">
      <c r="A14" s="31">
        <f>IF(Equipamentos!$A14="","",Equipamentos!$A14)</f>
        <v/>
      </c>
      <c r="B14" s="32">
        <f>IF(Equipamentos!$A14="","",Equipamentos!$B14)</f>
        <v/>
      </c>
      <c r="C14" s="32">
        <f>IF(Equipamentos!$A14="","",Equipamentos!$D14)</f>
        <v/>
      </c>
      <c r="D14" s="34">
        <f>IF(Equipamentos!$A14="","",Equipamentos!$E14)</f>
        <v/>
      </c>
      <c r="E14" s="33">
        <f>IF(Equipamentos!$A14="","",Equipamentos!$F14)</f>
        <v/>
      </c>
      <c r="F14" s="33">
        <f>IF(Equipamentos!$A14="","",COUNTIFS(Manutenções!$B$4:$B$500,$A14,Manutenções!$A$4:$A$500,"&gt;="&amp;Diretoria!$B$4,Manutenções!$A$4:$A$500,"&lt;="&amp;Diretoria!$D$4))</f>
        <v/>
      </c>
      <c r="G14" s="48">
        <f>IF(Equipamentos!$A14="","",IF(SUMPRODUCT(MAX((Manutenções!$B$4:$B$500=$A14)*(Manutenções!$A$4:$A$500)))=0,"—",SUMPRODUCT(MAX((Manutenções!$B$4:$B$500=$A14)*(Manutenções!$A$4:$A$500)))))</f>
        <v/>
      </c>
    </row>
    <row r="15">
      <c r="A15" s="22">
        <f>IF(Equipamentos!$A15="","",Equipamentos!$A15)</f>
        <v/>
      </c>
      <c r="B15" s="36">
        <f>IF(Equipamentos!$A15="","",Equipamentos!$B15)</f>
        <v/>
      </c>
      <c r="C15" s="36">
        <f>IF(Equipamentos!$A15="","",Equipamentos!$D15)</f>
        <v/>
      </c>
      <c r="D15" s="38">
        <f>IF(Equipamentos!$A15="","",Equipamentos!$E15)</f>
        <v/>
      </c>
      <c r="E15" s="37">
        <f>IF(Equipamentos!$A15="","",Equipamentos!$F15)</f>
        <v/>
      </c>
      <c r="F15" s="37">
        <f>IF(Equipamentos!$A15="","",COUNTIFS(Manutenções!$B$4:$B$500,$A15,Manutenções!$A$4:$A$500,"&gt;="&amp;Diretoria!$B$4,Manutenções!$A$4:$A$500,"&lt;="&amp;Diretoria!$D$4))</f>
        <v/>
      </c>
      <c r="G15" s="49">
        <f>IF(Equipamentos!$A15="","",IF(SUMPRODUCT(MAX((Manutenções!$B$4:$B$500=$A15)*(Manutenções!$A$4:$A$500)))=0,"—",SUMPRODUCT(MAX((Manutenções!$B$4:$B$500=$A15)*(Manutenções!$A$4:$A$500)))))</f>
        <v/>
      </c>
    </row>
    <row r="16">
      <c r="A16" s="31">
        <f>IF(Equipamentos!$A16="","",Equipamentos!$A16)</f>
        <v/>
      </c>
      <c r="B16" s="32">
        <f>IF(Equipamentos!$A16="","",Equipamentos!$B16)</f>
        <v/>
      </c>
      <c r="C16" s="32">
        <f>IF(Equipamentos!$A16="","",Equipamentos!$D16)</f>
        <v/>
      </c>
      <c r="D16" s="34">
        <f>IF(Equipamentos!$A16="","",Equipamentos!$E16)</f>
        <v/>
      </c>
      <c r="E16" s="33">
        <f>IF(Equipamentos!$A16="","",Equipamentos!$F16)</f>
        <v/>
      </c>
      <c r="F16" s="33">
        <f>IF(Equipamentos!$A16="","",COUNTIFS(Manutenções!$B$4:$B$500,$A16,Manutenções!$A$4:$A$500,"&gt;="&amp;Diretoria!$B$4,Manutenções!$A$4:$A$500,"&lt;="&amp;Diretoria!$D$4))</f>
        <v/>
      </c>
      <c r="G16" s="48">
        <f>IF(Equipamentos!$A16="","",IF(SUMPRODUCT(MAX((Manutenções!$B$4:$B$500=$A16)*(Manutenções!$A$4:$A$500)))=0,"—",SUMPRODUCT(MAX((Manutenções!$B$4:$B$500=$A16)*(Manutenções!$A$4:$A$500)))))</f>
        <v/>
      </c>
    </row>
    <row r="17">
      <c r="A17" s="22">
        <f>IF(Equipamentos!$A17="","",Equipamentos!$A17)</f>
        <v/>
      </c>
      <c r="B17" s="36">
        <f>IF(Equipamentos!$A17="","",Equipamentos!$B17)</f>
        <v/>
      </c>
      <c r="C17" s="36">
        <f>IF(Equipamentos!$A17="","",Equipamentos!$D17)</f>
        <v/>
      </c>
      <c r="D17" s="38">
        <f>IF(Equipamentos!$A17="","",Equipamentos!$E17)</f>
        <v/>
      </c>
      <c r="E17" s="37">
        <f>IF(Equipamentos!$A17="","",Equipamentos!$F17)</f>
        <v/>
      </c>
      <c r="F17" s="37">
        <f>IF(Equipamentos!$A17="","",COUNTIFS(Manutenções!$B$4:$B$500,$A17,Manutenções!$A$4:$A$500,"&gt;="&amp;Diretoria!$B$4,Manutenções!$A$4:$A$500,"&lt;="&amp;Diretoria!$D$4))</f>
        <v/>
      </c>
      <c r="G17" s="49">
        <f>IF(Equipamentos!$A17="","",IF(SUMPRODUCT(MAX((Manutenções!$B$4:$B$500=$A17)*(Manutenções!$A$4:$A$500)))=0,"—",SUMPRODUCT(MAX((Manutenções!$B$4:$B$500=$A17)*(Manutenções!$A$4:$A$500)))))</f>
        <v/>
      </c>
    </row>
    <row r="18">
      <c r="A18" s="31">
        <f>IF(Equipamentos!$A18="","",Equipamentos!$A18)</f>
        <v/>
      </c>
      <c r="B18" s="32">
        <f>IF(Equipamentos!$A18="","",Equipamentos!$B18)</f>
        <v/>
      </c>
      <c r="C18" s="32">
        <f>IF(Equipamentos!$A18="","",Equipamentos!$D18)</f>
        <v/>
      </c>
      <c r="D18" s="34">
        <f>IF(Equipamentos!$A18="","",Equipamentos!$E18)</f>
        <v/>
      </c>
      <c r="E18" s="33">
        <f>IF(Equipamentos!$A18="","",Equipamentos!$F18)</f>
        <v/>
      </c>
      <c r="F18" s="33">
        <f>IF(Equipamentos!$A18="","",COUNTIFS(Manutenções!$B$4:$B$500,$A18,Manutenções!$A$4:$A$500,"&gt;="&amp;Diretoria!$B$4,Manutenções!$A$4:$A$500,"&lt;="&amp;Diretoria!$D$4))</f>
        <v/>
      </c>
      <c r="G18" s="48">
        <f>IF(Equipamentos!$A18="","",IF(SUMPRODUCT(MAX((Manutenções!$B$4:$B$500=$A18)*(Manutenções!$A$4:$A$500)))=0,"—",SUMPRODUCT(MAX((Manutenções!$B$4:$B$500=$A18)*(Manutenções!$A$4:$A$500)))))</f>
        <v/>
      </c>
    </row>
    <row r="19">
      <c r="A19" s="22">
        <f>IF(Equipamentos!$A19="","",Equipamentos!$A19)</f>
        <v/>
      </c>
      <c r="B19" s="36">
        <f>IF(Equipamentos!$A19="","",Equipamentos!$B19)</f>
        <v/>
      </c>
      <c r="C19" s="36">
        <f>IF(Equipamentos!$A19="","",Equipamentos!$D19)</f>
        <v/>
      </c>
      <c r="D19" s="38">
        <f>IF(Equipamentos!$A19="","",Equipamentos!$E19)</f>
        <v/>
      </c>
      <c r="E19" s="37">
        <f>IF(Equipamentos!$A19="","",Equipamentos!$F19)</f>
        <v/>
      </c>
      <c r="F19" s="37">
        <f>IF(Equipamentos!$A19="","",COUNTIFS(Manutenções!$B$4:$B$500,$A19,Manutenções!$A$4:$A$500,"&gt;="&amp;Diretoria!$B$4,Manutenções!$A$4:$A$500,"&lt;="&amp;Diretoria!$D$4))</f>
        <v/>
      </c>
      <c r="G19" s="49">
        <f>IF(Equipamentos!$A19="","",IF(SUMPRODUCT(MAX((Manutenções!$B$4:$B$500=$A19)*(Manutenções!$A$4:$A$500)))=0,"—",SUMPRODUCT(MAX((Manutenções!$B$4:$B$500=$A19)*(Manutenções!$A$4:$A$500)))))</f>
        <v/>
      </c>
    </row>
    <row r="20">
      <c r="A20" s="31">
        <f>IF(Equipamentos!$A20="","",Equipamentos!$A20)</f>
        <v/>
      </c>
      <c r="B20" s="32">
        <f>IF(Equipamentos!$A20="","",Equipamentos!$B20)</f>
        <v/>
      </c>
      <c r="C20" s="32">
        <f>IF(Equipamentos!$A20="","",Equipamentos!$D20)</f>
        <v/>
      </c>
      <c r="D20" s="34">
        <f>IF(Equipamentos!$A20="","",Equipamentos!$E20)</f>
        <v/>
      </c>
      <c r="E20" s="33">
        <f>IF(Equipamentos!$A20="","",Equipamentos!$F20)</f>
        <v/>
      </c>
      <c r="F20" s="33">
        <f>IF(Equipamentos!$A20="","",COUNTIFS(Manutenções!$B$4:$B$500,$A20,Manutenções!$A$4:$A$500,"&gt;="&amp;Diretoria!$B$4,Manutenções!$A$4:$A$500,"&lt;="&amp;Diretoria!$D$4))</f>
        <v/>
      </c>
      <c r="G20" s="48">
        <f>IF(Equipamentos!$A20="","",IF(SUMPRODUCT(MAX((Manutenções!$B$4:$B$500=$A20)*(Manutenções!$A$4:$A$500)))=0,"—",SUMPRODUCT(MAX((Manutenções!$B$4:$B$500=$A20)*(Manutenções!$A$4:$A$500)))))</f>
        <v/>
      </c>
    </row>
    <row r="21">
      <c r="A21" s="22">
        <f>IF(Equipamentos!$A21="","",Equipamentos!$A21)</f>
        <v/>
      </c>
      <c r="B21" s="36">
        <f>IF(Equipamentos!$A21="","",Equipamentos!$B21)</f>
        <v/>
      </c>
      <c r="C21" s="36">
        <f>IF(Equipamentos!$A21="","",Equipamentos!$D21)</f>
        <v/>
      </c>
      <c r="D21" s="38">
        <f>IF(Equipamentos!$A21="","",Equipamentos!$E21)</f>
        <v/>
      </c>
      <c r="E21" s="37">
        <f>IF(Equipamentos!$A21="","",Equipamentos!$F21)</f>
        <v/>
      </c>
      <c r="F21" s="37">
        <f>IF(Equipamentos!$A21="","",COUNTIFS(Manutenções!$B$4:$B$500,$A21,Manutenções!$A$4:$A$500,"&gt;="&amp;Diretoria!$B$4,Manutenções!$A$4:$A$500,"&lt;="&amp;Diretoria!$D$4))</f>
        <v/>
      </c>
      <c r="G21" s="49">
        <f>IF(Equipamentos!$A21="","",IF(SUMPRODUCT(MAX((Manutenções!$B$4:$B$500=$A21)*(Manutenções!$A$4:$A$500)))=0,"—",SUMPRODUCT(MAX((Manutenções!$B$4:$B$500=$A21)*(Manutenções!$A$4:$A$500)))))</f>
        <v/>
      </c>
    </row>
    <row r="22">
      <c r="A22" s="31">
        <f>IF(Equipamentos!$A22="","",Equipamentos!$A22)</f>
        <v/>
      </c>
      <c r="B22" s="32">
        <f>IF(Equipamentos!$A22="","",Equipamentos!$B22)</f>
        <v/>
      </c>
      <c r="C22" s="32">
        <f>IF(Equipamentos!$A22="","",Equipamentos!$D22)</f>
        <v/>
      </c>
      <c r="D22" s="34">
        <f>IF(Equipamentos!$A22="","",Equipamentos!$E22)</f>
        <v/>
      </c>
      <c r="E22" s="33">
        <f>IF(Equipamentos!$A22="","",Equipamentos!$F22)</f>
        <v/>
      </c>
      <c r="F22" s="33">
        <f>IF(Equipamentos!$A22="","",COUNTIFS(Manutenções!$B$4:$B$500,$A22,Manutenções!$A$4:$A$500,"&gt;="&amp;Diretoria!$B$4,Manutenções!$A$4:$A$500,"&lt;="&amp;Diretoria!$D$4))</f>
        <v/>
      </c>
      <c r="G22" s="48">
        <f>IF(Equipamentos!$A22="","",IF(SUMPRODUCT(MAX((Manutenções!$B$4:$B$500=$A22)*(Manutenções!$A$4:$A$500)))=0,"—",SUMPRODUCT(MAX((Manutenções!$B$4:$B$500=$A22)*(Manutenções!$A$4:$A$500)))))</f>
        <v/>
      </c>
    </row>
    <row r="23">
      <c r="A23" s="22">
        <f>IF(Equipamentos!$A23="","",Equipamentos!$A23)</f>
        <v/>
      </c>
      <c r="B23" s="36">
        <f>IF(Equipamentos!$A23="","",Equipamentos!$B23)</f>
        <v/>
      </c>
      <c r="C23" s="36">
        <f>IF(Equipamentos!$A23="","",Equipamentos!$D23)</f>
        <v/>
      </c>
      <c r="D23" s="38">
        <f>IF(Equipamentos!$A23="","",Equipamentos!$E23)</f>
        <v/>
      </c>
      <c r="E23" s="37">
        <f>IF(Equipamentos!$A23="","",Equipamentos!$F23)</f>
        <v/>
      </c>
      <c r="F23" s="37">
        <f>IF(Equipamentos!$A23="","",COUNTIFS(Manutenções!$B$4:$B$500,$A23,Manutenções!$A$4:$A$500,"&gt;="&amp;Diretoria!$B$4,Manutenções!$A$4:$A$500,"&lt;="&amp;Diretoria!$D$4))</f>
        <v/>
      </c>
      <c r="G23" s="49">
        <f>IF(Equipamentos!$A23="","",IF(SUMPRODUCT(MAX((Manutenções!$B$4:$B$500=$A23)*(Manutenções!$A$4:$A$500)))=0,"—",SUMPRODUCT(MAX((Manutenções!$B$4:$B$500=$A23)*(Manutenções!$A$4:$A$500)))))</f>
        <v/>
      </c>
    </row>
    <row r="24">
      <c r="A24" s="31">
        <f>IF(Equipamentos!$A24="","",Equipamentos!$A24)</f>
        <v/>
      </c>
      <c r="B24" s="32">
        <f>IF(Equipamentos!$A24="","",Equipamentos!$B24)</f>
        <v/>
      </c>
      <c r="C24" s="32">
        <f>IF(Equipamentos!$A24="","",Equipamentos!$D24)</f>
        <v/>
      </c>
      <c r="D24" s="34">
        <f>IF(Equipamentos!$A24="","",Equipamentos!$E24)</f>
        <v/>
      </c>
      <c r="E24" s="33">
        <f>IF(Equipamentos!$A24="","",Equipamentos!$F24)</f>
        <v/>
      </c>
      <c r="F24" s="33">
        <f>IF(Equipamentos!$A24="","",COUNTIFS(Manutenções!$B$4:$B$500,$A24,Manutenções!$A$4:$A$500,"&gt;="&amp;Diretoria!$B$4,Manutenções!$A$4:$A$500,"&lt;="&amp;Diretoria!$D$4))</f>
        <v/>
      </c>
      <c r="G24" s="48">
        <f>IF(Equipamentos!$A24="","",IF(SUMPRODUCT(MAX((Manutenções!$B$4:$B$500=$A24)*(Manutenções!$A$4:$A$500)))=0,"—",SUMPRODUCT(MAX((Manutenções!$B$4:$B$500=$A24)*(Manutenções!$A$4:$A$500)))))</f>
        <v/>
      </c>
    </row>
    <row r="25">
      <c r="A25" s="22">
        <f>IF(Equipamentos!$A25="","",Equipamentos!$A25)</f>
        <v/>
      </c>
      <c r="B25" s="36">
        <f>IF(Equipamentos!$A25="","",Equipamentos!$B25)</f>
        <v/>
      </c>
      <c r="C25" s="36">
        <f>IF(Equipamentos!$A25="","",Equipamentos!$D25)</f>
        <v/>
      </c>
      <c r="D25" s="38">
        <f>IF(Equipamentos!$A25="","",Equipamentos!$E25)</f>
        <v/>
      </c>
      <c r="E25" s="37">
        <f>IF(Equipamentos!$A25="","",Equipamentos!$F25)</f>
        <v/>
      </c>
      <c r="F25" s="37">
        <f>IF(Equipamentos!$A25="","",COUNTIFS(Manutenções!$B$4:$B$500,$A25,Manutenções!$A$4:$A$500,"&gt;="&amp;Diretoria!$B$4,Manutenções!$A$4:$A$500,"&lt;="&amp;Diretoria!$D$4))</f>
        <v/>
      </c>
      <c r="G25" s="49">
        <f>IF(Equipamentos!$A25="","",IF(SUMPRODUCT(MAX((Manutenções!$B$4:$B$500=$A25)*(Manutenções!$A$4:$A$500)))=0,"—",SUMPRODUCT(MAX((Manutenções!$B$4:$B$500=$A25)*(Manutenções!$A$4:$A$500)))))</f>
        <v/>
      </c>
    </row>
    <row r="26">
      <c r="A26" s="31">
        <f>IF(Equipamentos!$A26="","",Equipamentos!$A26)</f>
        <v/>
      </c>
      <c r="B26" s="32">
        <f>IF(Equipamentos!$A26="","",Equipamentos!$B26)</f>
        <v/>
      </c>
      <c r="C26" s="32">
        <f>IF(Equipamentos!$A26="","",Equipamentos!$D26)</f>
        <v/>
      </c>
      <c r="D26" s="34">
        <f>IF(Equipamentos!$A26="","",Equipamentos!$E26)</f>
        <v/>
      </c>
      <c r="E26" s="33">
        <f>IF(Equipamentos!$A26="","",Equipamentos!$F26)</f>
        <v/>
      </c>
      <c r="F26" s="33">
        <f>IF(Equipamentos!$A26="","",COUNTIFS(Manutenções!$B$4:$B$500,$A26,Manutenções!$A$4:$A$500,"&gt;="&amp;Diretoria!$B$4,Manutenções!$A$4:$A$500,"&lt;="&amp;Diretoria!$D$4))</f>
        <v/>
      </c>
      <c r="G26" s="48">
        <f>IF(Equipamentos!$A26="","",IF(SUMPRODUCT(MAX((Manutenções!$B$4:$B$500=$A26)*(Manutenções!$A$4:$A$500)))=0,"—",SUMPRODUCT(MAX((Manutenções!$B$4:$B$500=$A26)*(Manutenções!$A$4:$A$500)))))</f>
        <v/>
      </c>
    </row>
    <row r="27">
      <c r="A27" s="22">
        <f>IF(Equipamentos!$A27="","",Equipamentos!$A27)</f>
        <v/>
      </c>
      <c r="B27" s="36">
        <f>IF(Equipamentos!$A27="","",Equipamentos!$B27)</f>
        <v/>
      </c>
      <c r="C27" s="36">
        <f>IF(Equipamentos!$A27="","",Equipamentos!$D27)</f>
        <v/>
      </c>
      <c r="D27" s="38">
        <f>IF(Equipamentos!$A27="","",Equipamentos!$E27)</f>
        <v/>
      </c>
      <c r="E27" s="37">
        <f>IF(Equipamentos!$A27="","",Equipamentos!$F27)</f>
        <v/>
      </c>
      <c r="F27" s="37">
        <f>IF(Equipamentos!$A27="","",COUNTIFS(Manutenções!$B$4:$B$500,$A27,Manutenções!$A$4:$A$500,"&gt;="&amp;Diretoria!$B$4,Manutenções!$A$4:$A$500,"&lt;="&amp;Diretoria!$D$4))</f>
        <v/>
      </c>
      <c r="G27" s="49">
        <f>IF(Equipamentos!$A27="","",IF(SUMPRODUCT(MAX((Manutenções!$B$4:$B$500=$A27)*(Manutenções!$A$4:$A$500)))=0,"—",SUMPRODUCT(MAX((Manutenções!$B$4:$B$500=$A27)*(Manutenções!$A$4:$A$500)))))</f>
        <v/>
      </c>
    </row>
    <row r="28">
      <c r="A28" s="31">
        <f>IF(Equipamentos!$A28="","",Equipamentos!$A28)</f>
        <v/>
      </c>
      <c r="B28" s="32">
        <f>IF(Equipamentos!$A28="","",Equipamentos!$B28)</f>
        <v/>
      </c>
      <c r="C28" s="32">
        <f>IF(Equipamentos!$A28="","",Equipamentos!$D28)</f>
        <v/>
      </c>
      <c r="D28" s="34">
        <f>IF(Equipamentos!$A28="","",Equipamentos!$E28)</f>
        <v/>
      </c>
      <c r="E28" s="33">
        <f>IF(Equipamentos!$A28="","",Equipamentos!$F28)</f>
        <v/>
      </c>
      <c r="F28" s="33">
        <f>IF(Equipamentos!$A28="","",COUNTIFS(Manutenções!$B$4:$B$500,$A28,Manutenções!$A$4:$A$500,"&gt;="&amp;Diretoria!$B$4,Manutenções!$A$4:$A$500,"&lt;="&amp;Diretoria!$D$4))</f>
        <v/>
      </c>
      <c r="G28" s="48">
        <f>IF(Equipamentos!$A28="","",IF(SUMPRODUCT(MAX((Manutenções!$B$4:$B$500=$A28)*(Manutenções!$A$4:$A$500)))=0,"—",SUMPRODUCT(MAX((Manutenções!$B$4:$B$500=$A28)*(Manutenções!$A$4:$A$500)))))</f>
        <v/>
      </c>
    </row>
    <row r="29">
      <c r="A29" s="22">
        <f>IF(Equipamentos!$A29="","",Equipamentos!$A29)</f>
        <v/>
      </c>
      <c r="B29" s="36">
        <f>IF(Equipamentos!$A29="","",Equipamentos!$B29)</f>
        <v/>
      </c>
      <c r="C29" s="36">
        <f>IF(Equipamentos!$A29="","",Equipamentos!$D29)</f>
        <v/>
      </c>
      <c r="D29" s="38">
        <f>IF(Equipamentos!$A29="","",Equipamentos!$E29)</f>
        <v/>
      </c>
      <c r="E29" s="37">
        <f>IF(Equipamentos!$A29="","",Equipamentos!$F29)</f>
        <v/>
      </c>
      <c r="F29" s="37">
        <f>IF(Equipamentos!$A29="","",COUNTIFS(Manutenções!$B$4:$B$500,$A29,Manutenções!$A$4:$A$500,"&gt;="&amp;Diretoria!$B$4,Manutenções!$A$4:$A$500,"&lt;="&amp;Diretoria!$D$4))</f>
        <v/>
      </c>
      <c r="G29" s="49">
        <f>IF(Equipamentos!$A29="","",IF(SUMPRODUCT(MAX((Manutenções!$B$4:$B$500=$A29)*(Manutenções!$A$4:$A$500)))=0,"—",SUMPRODUCT(MAX((Manutenções!$B$4:$B$500=$A29)*(Manutenções!$A$4:$A$500)))))</f>
        <v/>
      </c>
    </row>
    <row r="30">
      <c r="A30" s="31">
        <f>IF(Equipamentos!$A30="","",Equipamentos!$A30)</f>
        <v/>
      </c>
      <c r="B30" s="32">
        <f>IF(Equipamentos!$A30="","",Equipamentos!$B30)</f>
        <v/>
      </c>
      <c r="C30" s="32">
        <f>IF(Equipamentos!$A30="","",Equipamentos!$D30)</f>
        <v/>
      </c>
      <c r="D30" s="34">
        <f>IF(Equipamentos!$A30="","",Equipamentos!$E30)</f>
        <v/>
      </c>
      <c r="E30" s="33">
        <f>IF(Equipamentos!$A30="","",Equipamentos!$F30)</f>
        <v/>
      </c>
      <c r="F30" s="33">
        <f>IF(Equipamentos!$A30="","",COUNTIFS(Manutenções!$B$4:$B$500,$A30,Manutenções!$A$4:$A$500,"&gt;="&amp;Diretoria!$B$4,Manutenções!$A$4:$A$500,"&lt;="&amp;Diretoria!$D$4))</f>
        <v/>
      </c>
      <c r="G30" s="48">
        <f>IF(Equipamentos!$A30="","",IF(SUMPRODUCT(MAX((Manutenções!$B$4:$B$500=$A30)*(Manutenções!$A$4:$A$500)))=0,"—",SUMPRODUCT(MAX((Manutenções!$B$4:$B$500=$A30)*(Manutenções!$A$4:$A$500)))))</f>
        <v/>
      </c>
    </row>
    <row r="31">
      <c r="A31" s="22">
        <f>IF(Equipamentos!$A31="","",Equipamentos!$A31)</f>
        <v/>
      </c>
      <c r="B31" s="36">
        <f>IF(Equipamentos!$A31="","",Equipamentos!$B31)</f>
        <v/>
      </c>
      <c r="C31" s="36">
        <f>IF(Equipamentos!$A31="","",Equipamentos!$D31)</f>
        <v/>
      </c>
      <c r="D31" s="38">
        <f>IF(Equipamentos!$A31="","",Equipamentos!$E31)</f>
        <v/>
      </c>
      <c r="E31" s="37">
        <f>IF(Equipamentos!$A31="","",Equipamentos!$F31)</f>
        <v/>
      </c>
      <c r="F31" s="37">
        <f>IF(Equipamentos!$A31="","",COUNTIFS(Manutenções!$B$4:$B$500,$A31,Manutenções!$A$4:$A$500,"&gt;="&amp;Diretoria!$B$4,Manutenções!$A$4:$A$500,"&lt;="&amp;Diretoria!$D$4))</f>
        <v/>
      </c>
      <c r="G31" s="49">
        <f>IF(Equipamentos!$A31="","",IF(SUMPRODUCT(MAX((Manutenções!$B$4:$B$500=$A31)*(Manutenções!$A$4:$A$500)))=0,"—",SUMPRODUCT(MAX((Manutenções!$B$4:$B$500=$A31)*(Manutenções!$A$4:$A$500)))))</f>
        <v/>
      </c>
    </row>
    <row r="32">
      <c r="A32" s="31">
        <f>IF(Equipamentos!$A32="","",Equipamentos!$A32)</f>
        <v/>
      </c>
      <c r="B32" s="32">
        <f>IF(Equipamentos!$A32="","",Equipamentos!$B32)</f>
        <v/>
      </c>
      <c r="C32" s="32">
        <f>IF(Equipamentos!$A32="","",Equipamentos!$D32)</f>
        <v/>
      </c>
      <c r="D32" s="34">
        <f>IF(Equipamentos!$A32="","",Equipamentos!$E32)</f>
        <v/>
      </c>
      <c r="E32" s="33">
        <f>IF(Equipamentos!$A32="","",Equipamentos!$F32)</f>
        <v/>
      </c>
      <c r="F32" s="33">
        <f>IF(Equipamentos!$A32="","",COUNTIFS(Manutenções!$B$4:$B$500,$A32,Manutenções!$A$4:$A$500,"&gt;="&amp;Diretoria!$B$4,Manutenções!$A$4:$A$500,"&lt;="&amp;Diretoria!$D$4))</f>
        <v/>
      </c>
      <c r="G32" s="48">
        <f>IF(Equipamentos!$A32="","",IF(SUMPRODUCT(MAX((Manutenções!$B$4:$B$500=$A32)*(Manutenções!$A$4:$A$500)))=0,"—",SUMPRODUCT(MAX((Manutenções!$B$4:$B$500=$A32)*(Manutenções!$A$4:$A$500)))))</f>
        <v/>
      </c>
    </row>
    <row r="33">
      <c r="A33" s="22">
        <f>IF(Equipamentos!$A33="","",Equipamentos!$A33)</f>
        <v/>
      </c>
      <c r="B33" s="36">
        <f>IF(Equipamentos!$A33="","",Equipamentos!$B33)</f>
        <v/>
      </c>
      <c r="C33" s="36">
        <f>IF(Equipamentos!$A33="","",Equipamentos!$D33)</f>
        <v/>
      </c>
      <c r="D33" s="38">
        <f>IF(Equipamentos!$A33="","",Equipamentos!$E33)</f>
        <v/>
      </c>
      <c r="E33" s="37">
        <f>IF(Equipamentos!$A33="","",Equipamentos!$F33)</f>
        <v/>
      </c>
      <c r="F33" s="37">
        <f>IF(Equipamentos!$A33="","",COUNTIFS(Manutenções!$B$4:$B$500,$A33,Manutenções!$A$4:$A$500,"&gt;="&amp;Diretoria!$B$4,Manutenções!$A$4:$A$500,"&lt;="&amp;Diretoria!$D$4))</f>
        <v/>
      </c>
      <c r="G33" s="49">
        <f>IF(Equipamentos!$A33="","",IF(SUMPRODUCT(MAX((Manutenções!$B$4:$B$500=$A33)*(Manutenções!$A$4:$A$500)))=0,"—",SUMPRODUCT(MAX((Manutenções!$B$4:$B$500=$A33)*(Manutenções!$A$4:$A$500)))))</f>
        <v/>
      </c>
    </row>
    <row r="35">
      <c r="A35" s="10" t="inlineStr">
        <is>
          <t>MANUTENÇÕES REGISTRADAS</t>
        </is>
      </c>
    </row>
    <row r="36" ht="30" customHeight="1">
      <c r="A36" s="30" t="inlineStr">
        <is>
          <t>Data</t>
        </is>
      </c>
      <c r="B36" s="30" t="inlineStr">
        <is>
          <t>Equipamento</t>
        </is>
      </c>
      <c r="C36" s="30" t="inlineStr">
        <is>
          <t>Responsável</t>
        </is>
      </c>
      <c r="D36" s="30" t="inlineStr">
        <is>
          <t>Tipo</t>
        </is>
      </c>
      <c r="E36" s="30" t="inlineStr">
        <is>
          <t>Serviço realizado</t>
        </is>
      </c>
      <c r="F36" s="30" t="inlineStr">
        <is>
          <t>Peças/Trocas</t>
        </is>
      </c>
      <c r="G36" s="30" t="inlineStr">
        <is>
          <t>Observação</t>
        </is>
      </c>
    </row>
    <row r="37">
      <c r="A37" s="44">
        <f>IF(Manutenções!$A4="","",Manutenções!$A4)</f>
        <v/>
      </c>
      <c r="B37">
        <f>IF(Manutenções!$A4="","",Manutenções!$B4)</f>
        <v/>
      </c>
      <c r="C37">
        <f>IF(Manutenções!$A4="","",Manutenções!$C4)</f>
        <v/>
      </c>
      <c r="D37">
        <f>IF(Manutenções!$A4="","",Manutenções!$F4)</f>
        <v/>
      </c>
      <c r="E37">
        <f>IF(Manutenções!$A4="","",Manutenções!$G4)</f>
        <v/>
      </c>
      <c r="F37">
        <f>IF(Manutenções!$A4="","",Manutenções!$H4)</f>
        <v/>
      </c>
      <c r="G37">
        <f>IF(Manutenções!$A4="","",Manutenções!$I4)</f>
        <v/>
      </c>
    </row>
    <row r="38">
      <c r="A38" s="44">
        <f>IF(Manutenções!$A5="","",Manutenções!$A5)</f>
        <v/>
      </c>
      <c r="B38">
        <f>IF(Manutenções!$A5="","",Manutenções!$B5)</f>
        <v/>
      </c>
      <c r="C38">
        <f>IF(Manutenções!$A5="","",Manutenções!$C5)</f>
        <v/>
      </c>
      <c r="D38">
        <f>IF(Manutenções!$A5="","",Manutenções!$F5)</f>
        <v/>
      </c>
      <c r="E38">
        <f>IF(Manutenções!$A5="","",Manutenções!$G5)</f>
        <v/>
      </c>
      <c r="F38">
        <f>IF(Manutenções!$A5="","",Manutenções!$H5)</f>
        <v/>
      </c>
      <c r="G38">
        <f>IF(Manutenções!$A5="","",Manutenções!$I5)</f>
        <v/>
      </c>
    </row>
    <row r="39">
      <c r="A39" s="44">
        <f>IF(Manutenções!$A6="","",Manutenções!$A6)</f>
        <v/>
      </c>
      <c r="B39">
        <f>IF(Manutenções!$A6="","",Manutenções!$B6)</f>
        <v/>
      </c>
      <c r="C39">
        <f>IF(Manutenções!$A6="","",Manutenções!$C6)</f>
        <v/>
      </c>
      <c r="D39">
        <f>IF(Manutenções!$A6="","",Manutenções!$F6)</f>
        <v/>
      </c>
      <c r="E39">
        <f>IF(Manutenções!$A6="","",Manutenções!$G6)</f>
        <v/>
      </c>
      <c r="F39">
        <f>IF(Manutenções!$A6="","",Manutenções!$H6)</f>
        <v/>
      </c>
      <c r="G39">
        <f>IF(Manutenções!$A6="","",Manutenções!$I6)</f>
        <v/>
      </c>
    </row>
    <row r="40">
      <c r="A40" s="44">
        <f>IF(Manutenções!$A7="","",Manutenções!$A7)</f>
        <v/>
      </c>
      <c r="B40">
        <f>IF(Manutenções!$A7="","",Manutenções!$B7)</f>
        <v/>
      </c>
      <c r="C40">
        <f>IF(Manutenções!$A7="","",Manutenções!$C7)</f>
        <v/>
      </c>
      <c r="D40">
        <f>IF(Manutenções!$A7="","",Manutenções!$F7)</f>
        <v/>
      </c>
      <c r="E40">
        <f>IF(Manutenções!$A7="","",Manutenções!$G7)</f>
        <v/>
      </c>
      <c r="F40">
        <f>IF(Manutenções!$A7="","",Manutenções!$H7)</f>
        <v/>
      </c>
      <c r="G40">
        <f>IF(Manutenções!$A7="","",Manutenções!$I7)</f>
        <v/>
      </c>
    </row>
    <row r="41">
      <c r="A41" s="44">
        <f>IF(Manutenções!$A8="","",Manutenções!$A8)</f>
        <v/>
      </c>
      <c r="B41">
        <f>IF(Manutenções!$A8="","",Manutenções!$B8)</f>
        <v/>
      </c>
      <c r="C41">
        <f>IF(Manutenções!$A8="","",Manutenções!$C8)</f>
        <v/>
      </c>
      <c r="D41">
        <f>IF(Manutenções!$A8="","",Manutenções!$F8)</f>
        <v/>
      </c>
      <c r="E41">
        <f>IF(Manutenções!$A8="","",Manutenções!$G8)</f>
        <v/>
      </c>
      <c r="F41">
        <f>IF(Manutenções!$A8="","",Manutenções!$H8)</f>
        <v/>
      </c>
      <c r="G41">
        <f>IF(Manutenções!$A8="","",Manutenções!$I8)</f>
        <v/>
      </c>
    </row>
    <row r="42">
      <c r="A42" s="44">
        <f>IF(Manutenções!$A9="","",Manutenções!$A9)</f>
        <v/>
      </c>
      <c r="B42">
        <f>IF(Manutenções!$A9="","",Manutenções!$B9)</f>
        <v/>
      </c>
      <c r="C42">
        <f>IF(Manutenções!$A9="","",Manutenções!$C9)</f>
        <v/>
      </c>
      <c r="D42">
        <f>IF(Manutenções!$A9="","",Manutenções!$F9)</f>
        <v/>
      </c>
      <c r="E42">
        <f>IF(Manutenções!$A9="","",Manutenções!$G9)</f>
        <v/>
      </c>
      <c r="F42">
        <f>IF(Manutenções!$A9="","",Manutenções!$H9)</f>
        <v/>
      </c>
      <c r="G42">
        <f>IF(Manutenções!$A9="","",Manutenções!$I9)</f>
        <v/>
      </c>
    </row>
    <row r="43">
      <c r="A43" s="44">
        <f>IF(Manutenções!$A10="","",Manutenções!$A10)</f>
        <v/>
      </c>
      <c r="B43">
        <f>IF(Manutenções!$A10="","",Manutenções!$B10)</f>
        <v/>
      </c>
      <c r="C43">
        <f>IF(Manutenções!$A10="","",Manutenções!$C10)</f>
        <v/>
      </c>
      <c r="D43">
        <f>IF(Manutenções!$A10="","",Manutenções!$F10)</f>
        <v/>
      </c>
      <c r="E43">
        <f>IF(Manutenções!$A10="","",Manutenções!$G10)</f>
        <v/>
      </c>
      <c r="F43">
        <f>IF(Manutenções!$A10="","",Manutenções!$H10)</f>
        <v/>
      </c>
      <c r="G43">
        <f>IF(Manutenções!$A10="","",Manutenções!$I10)</f>
        <v/>
      </c>
    </row>
    <row r="44">
      <c r="A44" s="44">
        <f>IF(Manutenções!$A11="","",Manutenções!$A11)</f>
        <v/>
      </c>
      <c r="B44">
        <f>IF(Manutenções!$A11="","",Manutenções!$B11)</f>
        <v/>
      </c>
      <c r="C44">
        <f>IF(Manutenções!$A11="","",Manutenções!$C11)</f>
        <v/>
      </c>
      <c r="D44">
        <f>IF(Manutenções!$A11="","",Manutenções!$F11)</f>
        <v/>
      </c>
      <c r="E44">
        <f>IF(Manutenções!$A11="","",Manutenções!$G11)</f>
        <v/>
      </c>
      <c r="F44">
        <f>IF(Manutenções!$A11="","",Manutenções!$H11)</f>
        <v/>
      </c>
      <c r="G44">
        <f>IF(Manutenções!$A11="","",Manutenções!$I11)</f>
        <v/>
      </c>
    </row>
    <row r="45">
      <c r="A45" s="44">
        <f>IF(Manutenções!$A12="","",Manutenções!$A12)</f>
        <v/>
      </c>
      <c r="B45">
        <f>IF(Manutenções!$A12="","",Manutenções!$B12)</f>
        <v/>
      </c>
      <c r="C45">
        <f>IF(Manutenções!$A12="","",Manutenções!$C12)</f>
        <v/>
      </c>
      <c r="D45">
        <f>IF(Manutenções!$A12="","",Manutenções!$F12)</f>
        <v/>
      </c>
      <c r="E45">
        <f>IF(Manutenções!$A12="","",Manutenções!$G12)</f>
        <v/>
      </c>
      <c r="F45">
        <f>IF(Manutenções!$A12="","",Manutenções!$H12)</f>
        <v/>
      </c>
      <c r="G45">
        <f>IF(Manutenções!$A12="","",Manutenções!$I12)</f>
        <v/>
      </c>
    </row>
    <row r="46">
      <c r="A46" s="44">
        <f>IF(Manutenções!$A13="","",Manutenções!$A13)</f>
        <v/>
      </c>
      <c r="B46">
        <f>IF(Manutenções!$A13="","",Manutenções!$B13)</f>
        <v/>
      </c>
      <c r="C46">
        <f>IF(Manutenções!$A13="","",Manutenções!$C13)</f>
        <v/>
      </c>
      <c r="D46">
        <f>IF(Manutenções!$A13="","",Manutenções!$F13)</f>
        <v/>
      </c>
      <c r="E46">
        <f>IF(Manutenções!$A13="","",Manutenções!$G13)</f>
        <v/>
      </c>
      <c r="F46">
        <f>IF(Manutenções!$A13="","",Manutenções!$H13)</f>
        <v/>
      </c>
      <c r="G46">
        <f>IF(Manutenções!$A13="","",Manutenções!$I13)</f>
        <v/>
      </c>
    </row>
    <row r="47">
      <c r="A47" s="44">
        <f>IF(Manutenções!$A14="","",Manutenções!$A14)</f>
        <v/>
      </c>
      <c r="B47">
        <f>IF(Manutenções!$A14="","",Manutenções!$B14)</f>
        <v/>
      </c>
      <c r="C47">
        <f>IF(Manutenções!$A14="","",Manutenções!$C14)</f>
        <v/>
      </c>
      <c r="D47">
        <f>IF(Manutenções!$A14="","",Manutenções!$F14)</f>
        <v/>
      </c>
      <c r="E47">
        <f>IF(Manutenções!$A14="","",Manutenções!$G14)</f>
        <v/>
      </c>
      <c r="F47">
        <f>IF(Manutenções!$A14="","",Manutenções!$H14)</f>
        <v/>
      </c>
      <c r="G47">
        <f>IF(Manutenções!$A14="","",Manutenções!$I14)</f>
        <v/>
      </c>
    </row>
    <row r="48">
      <c r="A48" s="44">
        <f>IF(Manutenções!$A15="","",Manutenções!$A15)</f>
        <v/>
      </c>
      <c r="B48">
        <f>IF(Manutenções!$A15="","",Manutenções!$B15)</f>
        <v/>
      </c>
      <c r="C48">
        <f>IF(Manutenções!$A15="","",Manutenções!$C15)</f>
        <v/>
      </c>
      <c r="D48">
        <f>IF(Manutenções!$A15="","",Manutenções!$F15)</f>
        <v/>
      </c>
      <c r="E48">
        <f>IF(Manutenções!$A15="","",Manutenções!$G15)</f>
        <v/>
      </c>
      <c r="F48">
        <f>IF(Manutenções!$A15="","",Manutenções!$H15)</f>
        <v/>
      </c>
      <c r="G48">
        <f>IF(Manutenções!$A15="","",Manutenções!$I15)</f>
        <v/>
      </c>
    </row>
    <row r="49">
      <c r="A49" s="44">
        <f>IF(Manutenções!$A16="","",Manutenções!$A16)</f>
        <v/>
      </c>
      <c r="B49">
        <f>IF(Manutenções!$A16="","",Manutenções!$B16)</f>
        <v/>
      </c>
      <c r="C49">
        <f>IF(Manutenções!$A16="","",Manutenções!$C16)</f>
        <v/>
      </c>
      <c r="D49">
        <f>IF(Manutenções!$A16="","",Manutenções!$F16)</f>
        <v/>
      </c>
      <c r="E49">
        <f>IF(Manutenções!$A16="","",Manutenções!$G16)</f>
        <v/>
      </c>
      <c r="F49">
        <f>IF(Manutenções!$A16="","",Manutenções!$H16)</f>
        <v/>
      </c>
      <c r="G49">
        <f>IF(Manutenções!$A16="","",Manutenções!$I16)</f>
        <v/>
      </c>
    </row>
    <row r="50">
      <c r="A50" s="44">
        <f>IF(Manutenções!$A17="","",Manutenções!$A17)</f>
        <v/>
      </c>
      <c r="B50">
        <f>IF(Manutenções!$A17="","",Manutenções!$B17)</f>
        <v/>
      </c>
      <c r="C50">
        <f>IF(Manutenções!$A17="","",Manutenções!$C17)</f>
        <v/>
      </c>
      <c r="D50">
        <f>IF(Manutenções!$A17="","",Manutenções!$F17)</f>
        <v/>
      </c>
      <c r="E50">
        <f>IF(Manutenções!$A17="","",Manutenções!$G17)</f>
        <v/>
      </c>
      <c r="F50">
        <f>IF(Manutenções!$A17="","",Manutenções!$H17)</f>
        <v/>
      </c>
      <c r="G50">
        <f>IF(Manutenções!$A17="","",Manutenções!$I17)</f>
        <v/>
      </c>
    </row>
    <row r="51">
      <c r="A51" s="44">
        <f>IF(Manutenções!$A18="","",Manutenções!$A18)</f>
        <v/>
      </c>
      <c r="B51">
        <f>IF(Manutenções!$A18="","",Manutenções!$B18)</f>
        <v/>
      </c>
      <c r="C51">
        <f>IF(Manutenções!$A18="","",Manutenções!$C18)</f>
        <v/>
      </c>
      <c r="D51">
        <f>IF(Manutenções!$A18="","",Manutenções!$F18)</f>
        <v/>
      </c>
      <c r="E51">
        <f>IF(Manutenções!$A18="","",Manutenções!$G18)</f>
        <v/>
      </c>
      <c r="F51">
        <f>IF(Manutenções!$A18="","",Manutenções!$H18)</f>
        <v/>
      </c>
      <c r="G51">
        <f>IF(Manutenções!$A18="","",Manutenções!$I18)</f>
        <v/>
      </c>
    </row>
    <row r="52">
      <c r="A52" s="44">
        <f>IF(Manutenções!$A19="","",Manutenções!$A19)</f>
        <v/>
      </c>
      <c r="B52">
        <f>IF(Manutenções!$A19="","",Manutenções!$B19)</f>
        <v/>
      </c>
      <c r="C52">
        <f>IF(Manutenções!$A19="","",Manutenções!$C19)</f>
        <v/>
      </c>
      <c r="D52">
        <f>IF(Manutenções!$A19="","",Manutenções!$F19)</f>
        <v/>
      </c>
      <c r="E52">
        <f>IF(Manutenções!$A19="","",Manutenções!$G19)</f>
        <v/>
      </c>
      <c r="F52">
        <f>IF(Manutenções!$A19="","",Manutenções!$H19)</f>
        <v/>
      </c>
      <c r="G52">
        <f>IF(Manutenções!$A19="","",Manutenções!$I19)</f>
        <v/>
      </c>
    </row>
    <row r="53">
      <c r="A53" s="44">
        <f>IF(Manutenções!$A20="","",Manutenções!$A20)</f>
        <v/>
      </c>
      <c r="B53">
        <f>IF(Manutenções!$A20="","",Manutenções!$B20)</f>
        <v/>
      </c>
      <c r="C53">
        <f>IF(Manutenções!$A20="","",Manutenções!$C20)</f>
        <v/>
      </c>
      <c r="D53">
        <f>IF(Manutenções!$A20="","",Manutenções!$F20)</f>
        <v/>
      </c>
      <c r="E53">
        <f>IF(Manutenções!$A20="","",Manutenções!$G20)</f>
        <v/>
      </c>
      <c r="F53">
        <f>IF(Manutenções!$A20="","",Manutenções!$H20)</f>
        <v/>
      </c>
      <c r="G53">
        <f>IF(Manutenções!$A20="","",Manutenções!$I20)</f>
        <v/>
      </c>
    </row>
    <row r="54">
      <c r="A54" s="44">
        <f>IF(Manutenções!$A21="","",Manutenções!$A21)</f>
        <v/>
      </c>
      <c r="B54">
        <f>IF(Manutenções!$A21="","",Manutenções!$B21)</f>
        <v/>
      </c>
      <c r="C54">
        <f>IF(Manutenções!$A21="","",Manutenções!$C21)</f>
        <v/>
      </c>
      <c r="D54">
        <f>IF(Manutenções!$A21="","",Manutenções!$F21)</f>
        <v/>
      </c>
      <c r="E54">
        <f>IF(Manutenções!$A21="","",Manutenções!$G21)</f>
        <v/>
      </c>
      <c r="F54">
        <f>IF(Manutenções!$A21="","",Manutenções!$H21)</f>
        <v/>
      </c>
      <c r="G54">
        <f>IF(Manutenções!$A21="","",Manutenções!$I21)</f>
        <v/>
      </c>
    </row>
    <row r="55">
      <c r="A55" s="44">
        <f>IF(Manutenções!$A22="","",Manutenções!$A22)</f>
        <v/>
      </c>
      <c r="B55">
        <f>IF(Manutenções!$A22="","",Manutenções!$B22)</f>
        <v/>
      </c>
      <c r="C55">
        <f>IF(Manutenções!$A22="","",Manutenções!$C22)</f>
        <v/>
      </c>
      <c r="D55">
        <f>IF(Manutenções!$A22="","",Manutenções!$F22)</f>
        <v/>
      </c>
      <c r="E55">
        <f>IF(Manutenções!$A22="","",Manutenções!$G22)</f>
        <v/>
      </c>
      <c r="F55">
        <f>IF(Manutenções!$A22="","",Manutenções!$H22)</f>
        <v/>
      </c>
      <c r="G55">
        <f>IF(Manutenções!$A22="","",Manutenções!$I22)</f>
        <v/>
      </c>
    </row>
    <row r="56">
      <c r="A56" s="44">
        <f>IF(Manutenções!$A23="","",Manutenções!$A23)</f>
        <v/>
      </c>
      <c r="B56">
        <f>IF(Manutenções!$A23="","",Manutenções!$B23)</f>
        <v/>
      </c>
      <c r="C56">
        <f>IF(Manutenções!$A23="","",Manutenções!$C23)</f>
        <v/>
      </c>
      <c r="D56">
        <f>IF(Manutenções!$A23="","",Manutenções!$F23)</f>
        <v/>
      </c>
      <c r="E56">
        <f>IF(Manutenções!$A23="","",Manutenções!$G23)</f>
        <v/>
      </c>
      <c r="F56">
        <f>IF(Manutenções!$A23="","",Manutenções!$H23)</f>
        <v/>
      </c>
      <c r="G56">
        <f>IF(Manutenções!$A23="","",Manutenções!$I23)</f>
        <v/>
      </c>
    </row>
    <row r="57">
      <c r="A57" s="44">
        <f>IF(Manutenções!$A24="","",Manutenções!$A24)</f>
        <v/>
      </c>
      <c r="B57">
        <f>IF(Manutenções!$A24="","",Manutenções!$B24)</f>
        <v/>
      </c>
      <c r="C57">
        <f>IF(Manutenções!$A24="","",Manutenções!$C24)</f>
        <v/>
      </c>
      <c r="D57">
        <f>IF(Manutenções!$A24="","",Manutenções!$F24)</f>
        <v/>
      </c>
      <c r="E57">
        <f>IF(Manutenções!$A24="","",Manutenções!$G24)</f>
        <v/>
      </c>
      <c r="F57">
        <f>IF(Manutenções!$A24="","",Manutenções!$H24)</f>
        <v/>
      </c>
      <c r="G57">
        <f>IF(Manutenções!$A24="","",Manutenções!$I24)</f>
        <v/>
      </c>
    </row>
    <row r="58">
      <c r="A58" s="44">
        <f>IF(Manutenções!$A25="","",Manutenções!$A25)</f>
        <v/>
      </c>
      <c r="B58">
        <f>IF(Manutenções!$A25="","",Manutenções!$B25)</f>
        <v/>
      </c>
      <c r="C58">
        <f>IF(Manutenções!$A25="","",Manutenções!$C25)</f>
        <v/>
      </c>
      <c r="D58">
        <f>IF(Manutenções!$A25="","",Manutenções!$F25)</f>
        <v/>
      </c>
      <c r="E58">
        <f>IF(Manutenções!$A25="","",Manutenções!$G25)</f>
        <v/>
      </c>
      <c r="F58">
        <f>IF(Manutenções!$A25="","",Manutenções!$H25)</f>
        <v/>
      </c>
      <c r="G58">
        <f>IF(Manutenções!$A25="","",Manutenções!$I25)</f>
        <v/>
      </c>
    </row>
    <row r="59">
      <c r="A59" s="44">
        <f>IF(Manutenções!$A26="","",Manutenções!$A26)</f>
        <v/>
      </c>
      <c r="B59">
        <f>IF(Manutenções!$A26="","",Manutenções!$B26)</f>
        <v/>
      </c>
      <c r="C59">
        <f>IF(Manutenções!$A26="","",Manutenções!$C26)</f>
        <v/>
      </c>
      <c r="D59">
        <f>IF(Manutenções!$A26="","",Manutenções!$F26)</f>
        <v/>
      </c>
      <c r="E59">
        <f>IF(Manutenções!$A26="","",Manutenções!$G26)</f>
        <v/>
      </c>
      <c r="F59">
        <f>IF(Manutenções!$A26="","",Manutenções!$H26)</f>
        <v/>
      </c>
      <c r="G59">
        <f>IF(Manutenções!$A26="","",Manutenções!$I26)</f>
        <v/>
      </c>
    </row>
    <row r="60">
      <c r="A60" s="44">
        <f>IF(Manutenções!$A27="","",Manutenções!$A27)</f>
        <v/>
      </c>
      <c r="B60">
        <f>IF(Manutenções!$A27="","",Manutenções!$B27)</f>
        <v/>
      </c>
      <c r="C60">
        <f>IF(Manutenções!$A27="","",Manutenções!$C27)</f>
        <v/>
      </c>
      <c r="D60">
        <f>IF(Manutenções!$A27="","",Manutenções!$F27)</f>
        <v/>
      </c>
      <c r="E60">
        <f>IF(Manutenções!$A27="","",Manutenções!$G27)</f>
        <v/>
      </c>
      <c r="F60">
        <f>IF(Manutenções!$A27="","",Manutenções!$H27)</f>
        <v/>
      </c>
      <c r="G60">
        <f>IF(Manutenções!$A27="","",Manutenções!$I27)</f>
        <v/>
      </c>
    </row>
    <row r="61">
      <c r="A61" s="44">
        <f>IF(Manutenções!$A28="","",Manutenções!$A28)</f>
        <v/>
      </c>
      <c r="B61">
        <f>IF(Manutenções!$A28="","",Manutenções!$B28)</f>
        <v/>
      </c>
      <c r="C61">
        <f>IF(Manutenções!$A28="","",Manutenções!$C28)</f>
        <v/>
      </c>
      <c r="D61">
        <f>IF(Manutenções!$A28="","",Manutenções!$F28)</f>
        <v/>
      </c>
      <c r="E61">
        <f>IF(Manutenções!$A28="","",Manutenções!$G28)</f>
        <v/>
      </c>
      <c r="F61">
        <f>IF(Manutenções!$A28="","",Manutenções!$H28)</f>
        <v/>
      </c>
      <c r="G61">
        <f>IF(Manutenções!$A28="","",Manutenções!$I28)</f>
        <v/>
      </c>
    </row>
    <row r="62">
      <c r="A62" s="44">
        <f>IF(Manutenções!$A29="","",Manutenções!$A29)</f>
        <v/>
      </c>
      <c r="B62">
        <f>IF(Manutenções!$A29="","",Manutenções!$B29)</f>
        <v/>
      </c>
      <c r="C62">
        <f>IF(Manutenções!$A29="","",Manutenções!$C29)</f>
        <v/>
      </c>
      <c r="D62">
        <f>IF(Manutenções!$A29="","",Manutenções!$F29)</f>
        <v/>
      </c>
      <c r="E62">
        <f>IF(Manutenções!$A29="","",Manutenções!$G29)</f>
        <v/>
      </c>
      <c r="F62">
        <f>IF(Manutenções!$A29="","",Manutenções!$H29)</f>
        <v/>
      </c>
      <c r="G62">
        <f>IF(Manutenções!$A29="","",Manutenções!$I29)</f>
        <v/>
      </c>
    </row>
    <row r="63">
      <c r="A63" s="44">
        <f>IF(Manutenções!$A30="","",Manutenções!$A30)</f>
        <v/>
      </c>
      <c r="B63">
        <f>IF(Manutenções!$A30="","",Manutenções!$B30)</f>
        <v/>
      </c>
      <c r="C63">
        <f>IF(Manutenções!$A30="","",Manutenções!$C30)</f>
        <v/>
      </c>
      <c r="D63">
        <f>IF(Manutenções!$A30="","",Manutenções!$F30)</f>
        <v/>
      </c>
      <c r="E63">
        <f>IF(Manutenções!$A30="","",Manutenções!$G30)</f>
        <v/>
      </c>
      <c r="F63">
        <f>IF(Manutenções!$A30="","",Manutenções!$H30)</f>
        <v/>
      </c>
      <c r="G63">
        <f>IF(Manutenções!$A30="","",Manutenções!$I30)</f>
        <v/>
      </c>
    </row>
    <row r="64">
      <c r="A64" s="44">
        <f>IF(Manutenções!$A31="","",Manutenções!$A31)</f>
        <v/>
      </c>
      <c r="B64">
        <f>IF(Manutenções!$A31="","",Manutenções!$B31)</f>
        <v/>
      </c>
      <c r="C64">
        <f>IF(Manutenções!$A31="","",Manutenções!$C31)</f>
        <v/>
      </c>
      <c r="D64">
        <f>IF(Manutenções!$A31="","",Manutenções!$F31)</f>
        <v/>
      </c>
      <c r="E64">
        <f>IF(Manutenções!$A31="","",Manutenções!$G31)</f>
        <v/>
      </c>
      <c r="F64">
        <f>IF(Manutenções!$A31="","",Manutenções!$H31)</f>
        <v/>
      </c>
      <c r="G64">
        <f>IF(Manutenções!$A31="","",Manutenções!$I31)</f>
        <v/>
      </c>
    </row>
    <row r="65">
      <c r="A65" s="44">
        <f>IF(Manutenções!$A32="","",Manutenções!$A32)</f>
        <v/>
      </c>
      <c r="B65">
        <f>IF(Manutenções!$A32="","",Manutenções!$B32)</f>
        <v/>
      </c>
      <c r="C65">
        <f>IF(Manutenções!$A32="","",Manutenções!$C32)</f>
        <v/>
      </c>
      <c r="D65">
        <f>IF(Manutenções!$A32="","",Manutenções!$F32)</f>
        <v/>
      </c>
      <c r="E65">
        <f>IF(Manutenções!$A32="","",Manutenções!$G32)</f>
        <v/>
      </c>
      <c r="F65">
        <f>IF(Manutenções!$A32="","",Manutenções!$H32)</f>
        <v/>
      </c>
      <c r="G65">
        <f>IF(Manutenções!$A32="","",Manutenções!$I32)</f>
        <v/>
      </c>
    </row>
    <row r="66">
      <c r="A66" s="44">
        <f>IF(Manutenções!$A33="","",Manutenções!$A33)</f>
        <v/>
      </c>
      <c r="B66">
        <f>IF(Manutenções!$A33="","",Manutenções!$B33)</f>
        <v/>
      </c>
      <c r="C66">
        <f>IF(Manutenções!$A33="","",Manutenções!$C33)</f>
        <v/>
      </c>
      <c r="D66">
        <f>IF(Manutenções!$A33="","",Manutenções!$F33)</f>
        <v/>
      </c>
      <c r="E66">
        <f>IF(Manutenções!$A33="","",Manutenções!$G33)</f>
        <v/>
      </c>
      <c r="F66">
        <f>IF(Manutenções!$A33="","",Manutenções!$H33)</f>
        <v/>
      </c>
      <c r="G66">
        <f>IF(Manutenções!$A33="","",Manutenções!$I33)</f>
        <v/>
      </c>
    </row>
    <row r="67">
      <c r="A67" s="44">
        <f>IF(Manutenções!$A34="","",Manutenções!$A34)</f>
        <v/>
      </c>
      <c r="B67">
        <f>IF(Manutenções!$A34="","",Manutenções!$B34)</f>
        <v/>
      </c>
      <c r="C67">
        <f>IF(Manutenções!$A34="","",Manutenções!$C34)</f>
        <v/>
      </c>
      <c r="D67">
        <f>IF(Manutenções!$A34="","",Manutenções!$F34)</f>
        <v/>
      </c>
      <c r="E67">
        <f>IF(Manutenções!$A34="","",Manutenções!$G34)</f>
        <v/>
      </c>
      <c r="F67">
        <f>IF(Manutenções!$A34="","",Manutenções!$H34)</f>
        <v/>
      </c>
      <c r="G67">
        <f>IF(Manutenções!$A34="","",Manutenções!$I34)</f>
        <v/>
      </c>
    </row>
    <row r="68">
      <c r="A68" s="44">
        <f>IF(Manutenções!$A35="","",Manutenções!$A35)</f>
        <v/>
      </c>
      <c r="B68">
        <f>IF(Manutenções!$A35="","",Manutenções!$B35)</f>
        <v/>
      </c>
      <c r="C68">
        <f>IF(Manutenções!$A35="","",Manutenções!$C35)</f>
        <v/>
      </c>
      <c r="D68">
        <f>IF(Manutenções!$A35="","",Manutenções!$F35)</f>
        <v/>
      </c>
      <c r="E68">
        <f>IF(Manutenções!$A35="","",Manutenções!$G35)</f>
        <v/>
      </c>
      <c r="F68">
        <f>IF(Manutenções!$A35="","",Manutenções!$H35)</f>
        <v/>
      </c>
      <c r="G68">
        <f>IF(Manutenções!$A35="","",Manutenções!$I35)</f>
        <v/>
      </c>
    </row>
    <row r="69">
      <c r="A69" s="44">
        <f>IF(Manutenções!$A36="","",Manutenções!$A36)</f>
        <v/>
      </c>
      <c r="B69">
        <f>IF(Manutenções!$A36="","",Manutenções!$B36)</f>
        <v/>
      </c>
      <c r="C69">
        <f>IF(Manutenções!$A36="","",Manutenções!$C36)</f>
        <v/>
      </c>
      <c r="D69">
        <f>IF(Manutenções!$A36="","",Manutenções!$F36)</f>
        <v/>
      </c>
      <c r="E69">
        <f>IF(Manutenções!$A36="","",Manutenções!$G36)</f>
        <v/>
      </c>
      <c r="F69">
        <f>IF(Manutenções!$A36="","",Manutenções!$H36)</f>
        <v/>
      </c>
      <c r="G69">
        <f>IF(Manutenções!$A36="","",Manutenções!$I36)</f>
        <v/>
      </c>
    </row>
    <row r="70">
      <c r="A70" s="44">
        <f>IF(Manutenções!$A37="","",Manutenções!$A37)</f>
        <v/>
      </c>
      <c r="B70">
        <f>IF(Manutenções!$A37="","",Manutenções!$B37)</f>
        <v/>
      </c>
      <c r="C70">
        <f>IF(Manutenções!$A37="","",Manutenções!$C37)</f>
        <v/>
      </c>
      <c r="D70">
        <f>IF(Manutenções!$A37="","",Manutenções!$F37)</f>
        <v/>
      </c>
      <c r="E70">
        <f>IF(Manutenções!$A37="","",Manutenções!$G37)</f>
        <v/>
      </c>
      <c r="F70">
        <f>IF(Manutenções!$A37="","",Manutenções!$H37)</f>
        <v/>
      </c>
      <c r="G70">
        <f>IF(Manutenções!$A37="","",Manutenções!$I37)</f>
        <v/>
      </c>
    </row>
    <row r="71">
      <c r="A71" s="44">
        <f>IF(Manutenções!$A38="","",Manutenções!$A38)</f>
        <v/>
      </c>
      <c r="B71">
        <f>IF(Manutenções!$A38="","",Manutenções!$B38)</f>
        <v/>
      </c>
      <c r="C71">
        <f>IF(Manutenções!$A38="","",Manutenções!$C38)</f>
        <v/>
      </c>
      <c r="D71">
        <f>IF(Manutenções!$A38="","",Manutenções!$F38)</f>
        <v/>
      </c>
      <c r="E71">
        <f>IF(Manutenções!$A38="","",Manutenções!$G38)</f>
        <v/>
      </c>
      <c r="F71">
        <f>IF(Manutenções!$A38="","",Manutenções!$H38)</f>
        <v/>
      </c>
      <c r="G71">
        <f>IF(Manutenções!$A38="","",Manutenções!$I38)</f>
        <v/>
      </c>
    </row>
    <row r="72">
      <c r="A72" s="44">
        <f>IF(Manutenções!$A39="","",Manutenções!$A39)</f>
        <v/>
      </c>
      <c r="B72">
        <f>IF(Manutenções!$A39="","",Manutenções!$B39)</f>
        <v/>
      </c>
      <c r="C72">
        <f>IF(Manutenções!$A39="","",Manutenções!$C39)</f>
        <v/>
      </c>
      <c r="D72">
        <f>IF(Manutenções!$A39="","",Manutenções!$F39)</f>
        <v/>
      </c>
      <c r="E72">
        <f>IF(Manutenções!$A39="","",Manutenções!$G39)</f>
        <v/>
      </c>
      <c r="F72">
        <f>IF(Manutenções!$A39="","",Manutenções!$H39)</f>
        <v/>
      </c>
      <c r="G72">
        <f>IF(Manutenções!$A39="","",Manutenções!$I39)</f>
        <v/>
      </c>
    </row>
    <row r="73">
      <c r="A73" s="44">
        <f>IF(Manutenções!$A40="","",Manutenções!$A40)</f>
        <v/>
      </c>
      <c r="B73">
        <f>IF(Manutenções!$A40="","",Manutenções!$B40)</f>
        <v/>
      </c>
      <c r="C73">
        <f>IF(Manutenções!$A40="","",Manutenções!$C40)</f>
        <v/>
      </c>
      <c r="D73">
        <f>IF(Manutenções!$A40="","",Manutenções!$F40)</f>
        <v/>
      </c>
      <c r="E73">
        <f>IF(Manutenções!$A40="","",Manutenções!$G40)</f>
        <v/>
      </c>
      <c r="F73">
        <f>IF(Manutenções!$A40="","",Manutenções!$H40)</f>
        <v/>
      </c>
      <c r="G73">
        <f>IF(Manutenções!$A40="","",Manutenções!$I40)</f>
        <v/>
      </c>
    </row>
    <row r="74">
      <c r="A74" s="44">
        <f>IF(Manutenções!$A41="","",Manutenções!$A41)</f>
        <v/>
      </c>
      <c r="B74">
        <f>IF(Manutenções!$A41="","",Manutenções!$B41)</f>
        <v/>
      </c>
      <c r="C74">
        <f>IF(Manutenções!$A41="","",Manutenções!$C41)</f>
        <v/>
      </c>
      <c r="D74">
        <f>IF(Manutenções!$A41="","",Manutenções!$F41)</f>
        <v/>
      </c>
      <c r="E74">
        <f>IF(Manutenções!$A41="","",Manutenções!$G41)</f>
        <v/>
      </c>
      <c r="F74">
        <f>IF(Manutenções!$A41="","",Manutenções!$H41)</f>
        <v/>
      </c>
      <c r="G74">
        <f>IF(Manutenções!$A41="","",Manutenções!$I41)</f>
        <v/>
      </c>
    </row>
    <row r="75">
      <c r="A75" s="44">
        <f>IF(Manutenções!$A42="","",Manutenções!$A42)</f>
        <v/>
      </c>
      <c r="B75">
        <f>IF(Manutenções!$A42="","",Manutenções!$B42)</f>
        <v/>
      </c>
      <c r="C75">
        <f>IF(Manutenções!$A42="","",Manutenções!$C42)</f>
        <v/>
      </c>
      <c r="D75">
        <f>IF(Manutenções!$A42="","",Manutenções!$F42)</f>
        <v/>
      </c>
      <c r="E75">
        <f>IF(Manutenções!$A42="","",Manutenções!$G42)</f>
        <v/>
      </c>
      <c r="F75">
        <f>IF(Manutenções!$A42="","",Manutenções!$H42)</f>
        <v/>
      </c>
      <c r="G75">
        <f>IF(Manutenções!$A42="","",Manutenções!$I42)</f>
        <v/>
      </c>
    </row>
    <row r="76">
      <c r="A76" s="44">
        <f>IF(Manutenções!$A43="","",Manutenções!$A43)</f>
        <v/>
      </c>
      <c r="B76">
        <f>IF(Manutenções!$A43="","",Manutenções!$B43)</f>
        <v/>
      </c>
      <c r="C76">
        <f>IF(Manutenções!$A43="","",Manutenções!$C43)</f>
        <v/>
      </c>
      <c r="D76">
        <f>IF(Manutenções!$A43="","",Manutenções!$F43)</f>
        <v/>
      </c>
      <c r="E76">
        <f>IF(Manutenções!$A43="","",Manutenções!$G43)</f>
        <v/>
      </c>
      <c r="F76">
        <f>IF(Manutenções!$A43="","",Manutenções!$H43)</f>
        <v/>
      </c>
      <c r="G76">
        <f>IF(Manutenções!$A43="","",Manutenções!$I43)</f>
        <v/>
      </c>
    </row>
    <row r="77">
      <c r="A77" s="44">
        <f>IF(Manutenções!$A44="","",Manutenções!$A44)</f>
        <v/>
      </c>
      <c r="B77">
        <f>IF(Manutenções!$A44="","",Manutenções!$B44)</f>
        <v/>
      </c>
      <c r="C77">
        <f>IF(Manutenções!$A44="","",Manutenções!$C44)</f>
        <v/>
      </c>
      <c r="D77">
        <f>IF(Manutenções!$A44="","",Manutenções!$F44)</f>
        <v/>
      </c>
      <c r="E77">
        <f>IF(Manutenções!$A44="","",Manutenções!$G44)</f>
        <v/>
      </c>
      <c r="F77">
        <f>IF(Manutenções!$A44="","",Manutenções!$H44)</f>
        <v/>
      </c>
      <c r="G77">
        <f>IF(Manutenções!$A44="","",Manutenções!$I44)</f>
        <v/>
      </c>
    </row>
    <row r="78">
      <c r="A78" s="44">
        <f>IF(Manutenções!$A45="","",Manutenções!$A45)</f>
        <v/>
      </c>
      <c r="B78">
        <f>IF(Manutenções!$A45="","",Manutenções!$B45)</f>
        <v/>
      </c>
      <c r="C78">
        <f>IF(Manutenções!$A45="","",Manutenções!$C45)</f>
        <v/>
      </c>
      <c r="D78">
        <f>IF(Manutenções!$A45="","",Manutenções!$F45)</f>
        <v/>
      </c>
      <c r="E78">
        <f>IF(Manutenções!$A45="","",Manutenções!$G45)</f>
        <v/>
      </c>
      <c r="F78">
        <f>IF(Manutenções!$A45="","",Manutenções!$H45)</f>
        <v/>
      </c>
      <c r="G78">
        <f>IF(Manutenções!$A45="","",Manutenções!$I45)</f>
        <v/>
      </c>
    </row>
    <row r="79">
      <c r="A79" s="44">
        <f>IF(Manutenções!$A46="","",Manutenções!$A46)</f>
        <v/>
      </c>
      <c r="B79">
        <f>IF(Manutenções!$A46="","",Manutenções!$B46)</f>
        <v/>
      </c>
      <c r="C79">
        <f>IF(Manutenções!$A46="","",Manutenções!$C46)</f>
        <v/>
      </c>
      <c r="D79">
        <f>IF(Manutenções!$A46="","",Manutenções!$F46)</f>
        <v/>
      </c>
      <c r="E79">
        <f>IF(Manutenções!$A46="","",Manutenções!$G46)</f>
        <v/>
      </c>
      <c r="F79">
        <f>IF(Manutenções!$A46="","",Manutenções!$H46)</f>
        <v/>
      </c>
      <c r="G79">
        <f>IF(Manutenções!$A46="","",Manutenções!$I46)</f>
        <v/>
      </c>
    </row>
    <row r="80">
      <c r="A80" s="44">
        <f>IF(Manutenções!$A47="","",Manutenções!$A47)</f>
        <v/>
      </c>
      <c r="B80">
        <f>IF(Manutenções!$A47="","",Manutenções!$B47)</f>
        <v/>
      </c>
      <c r="C80">
        <f>IF(Manutenções!$A47="","",Manutenções!$C47)</f>
        <v/>
      </c>
      <c r="D80">
        <f>IF(Manutenções!$A47="","",Manutenções!$F47)</f>
        <v/>
      </c>
      <c r="E80">
        <f>IF(Manutenções!$A47="","",Manutenções!$G47)</f>
        <v/>
      </c>
      <c r="F80">
        <f>IF(Manutenções!$A47="","",Manutenções!$H47)</f>
        <v/>
      </c>
      <c r="G80">
        <f>IF(Manutenções!$A47="","",Manutenções!$I47)</f>
        <v/>
      </c>
    </row>
    <row r="81">
      <c r="A81" s="44">
        <f>IF(Manutenções!$A48="","",Manutenções!$A48)</f>
        <v/>
      </c>
      <c r="B81">
        <f>IF(Manutenções!$A48="","",Manutenções!$B48)</f>
        <v/>
      </c>
      <c r="C81">
        <f>IF(Manutenções!$A48="","",Manutenções!$C48)</f>
        <v/>
      </c>
      <c r="D81">
        <f>IF(Manutenções!$A48="","",Manutenções!$F48)</f>
        <v/>
      </c>
      <c r="E81">
        <f>IF(Manutenções!$A48="","",Manutenções!$G48)</f>
        <v/>
      </c>
      <c r="F81">
        <f>IF(Manutenções!$A48="","",Manutenções!$H48)</f>
        <v/>
      </c>
      <c r="G81">
        <f>IF(Manutenções!$A48="","",Manutenções!$I48)</f>
        <v/>
      </c>
    </row>
    <row r="82">
      <c r="A82" s="44">
        <f>IF(Manutenções!$A49="","",Manutenções!$A49)</f>
        <v/>
      </c>
      <c r="B82">
        <f>IF(Manutenções!$A49="","",Manutenções!$B49)</f>
        <v/>
      </c>
      <c r="C82">
        <f>IF(Manutenções!$A49="","",Manutenções!$C49)</f>
        <v/>
      </c>
      <c r="D82">
        <f>IF(Manutenções!$A49="","",Manutenções!$F49)</f>
        <v/>
      </c>
      <c r="E82">
        <f>IF(Manutenções!$A49="","",Manutenções!$G49)</f>
        <v/>
      </c>
      <c r="F82">
        <f>IF(Manutenções!$A49="","",Manutenções!$H49)</f>
        <v/>
      </c>
      <c r="G82">
        <f>IF(Manutenções!$A49="","",Manutenções!$I49)</f>
        <v/>
      </c>
    </row>
    <row r="83">
      <c r="A83" s="44">
        <f>IF(Manutenções!$A50="","",Manutenções!$A50)</f>
        <v/>
      </c>
      <c r="B83">
        <f>IF(Manutenções!$A50="","",Manutenções!$B50)</f>
        <v/>
      </c>
      <c r="C83">
        <f>IF(Manutenções!$A50="","",Manutenções!$C50)</f>
        <v/>
      </c>
      <c r="D83">
        <f>IF(Manutenções!$A50="","",Manutenções!$F50)</f>
        <v/>
      </c>
      <c r="E83">
        <f>IF(Manutenções!$A50="","",Manutenções!$G50)</f>
        <v/>
      </c>
      <c r="F83">
        <f>IF(Manutenções!$A50="","",Manutenções!$H50)</f>
        <v/>
      </c>
      <c r="G83">
        <f>IF(Manutenções!$A50="","",Manutenções!$I50)</f>
        <v/>
      </c>
    </row>
    <row r="84">
      <c r="A84" s="44">
        <f>IF(Manutenções!$A51="","",Manutenções!$A51)</f>
        <v/>
      </c>
      <c r="B84">
        <f>IF(Manutenções!$A51="","",Manutenções!$B51)</f>
        <v/>
      </c>
      <c r="C84">
        <f>IF(Manutenções!$A51="","",Manutenções!$C51)</f>
        <v/>
      </c>
      <c r="D84">
        <f>IF(Manutenções!$A51="","",Manutenções!$F51)</f>
        <v/>
      </c>
      <c r="E84">
        <f>IF(Manutenções!$A51="","",Manutenções!$G51)</f>
        <v/>
      </c>
      <c r="F84">
        <f>IF(Manutenções!$A51="","",Manutenções!$H51)</f>
        <v/>
      </c>
      <c r="G84">
        <f>IF(Manutenções!$A51="","",Manutenções!$I51)</f>
        <v/>
      </c>
    </row>
    <row r="85">
      <c r="A85" s="44">
        <f>IF(Manutenções!$A52="","",Manutenções!$A52)</f>
        <v/>
      </c>
      <c r="B85">
        <f>IF(Manutenções!$A52="","",Manutenções!$B52)</f>
        <v/>
      </c>
      <c r="C85">
        <f>IF(Manutenções!$A52="","",Manutenções!$C52)</f>
        <v/>
      </c>
      <c r="D85">
        <f>IF(Manutenções!$A52="","",Manutenções!$F52)</f>
        <v/>
      </c>
      <c r="E85">
        <f>IF(Manutenções!$A52="","",Manutenções!$G52)</f>
        <v/>
      </c>
      <c r="F85">
        <f>IF(Manutenções!$A52="","",Manutenções!$H52)</f>
        <v/>
      </c>
      <c r="G85">
        <f>IF(Manutenções!$A52="","",Manutenções!$I52)</f>
        <v/>
      </c>
    </row>
    <row r="86">
      <c r="A86" s="44">
        <f>IF(Manutenções!$A53="","",Manutenções!$A53)</f>
        <v/>
      </c>
      <c r="B86">
        <f>IF(Manutenções!$A53="","",Manutenções!$B53)</f>
        <v/>
      </c>
      <c r="C86">
        <f>IF(Manutenções!$A53="","",Manutenções!$C53)</f>
        <v/>
      </c>
      <c r="D86">
        <f>IF(Manutenções!$A53="","",Manutenções!$F53)</f>
        <v/>
      </c>
      <c r="E86">
        <f>IF(Manutenções!$A53="","",Manutenções!$G53)</f>
        <v/>
      </c>
      <c r="F86">
        <f>IF(Manutenções!$A53="","",Manutenções!$H53)</f>
        <v/>
      </c>
      <c r="G86">
        <f>IF(Manutenções!$A53="","",Manutenções!$I53)</f>
        <v/>
      </c>
    </row>
    <row r="87">
      <c r="A87" s="44">
        <f>IF(Manutenções!$A54="","",Manutenções!$A54)</f>
        <v/>
      </c>
      <c r="B87">
        <f>IF(Manutenções!$A54="","",Manutenções!$B54)</f>
        <v/>
      </c>
      <c r="C87">
        <f>IF(Manutenções!$A54="","",Manutenções!$C54)</f>
        <v/>
      </c>
      <c r="D87">
        <f>IF(Manutenções!$A54="","",Manutenções!$F54)</f>
        <v/>
      </c>
      <c r="E87">
        <f>IF(Manutenções!$A54="","",Manutenções!$G54)</f>
        <v/>
      </c>
      <c r="F87">
        <f>IF(Manutenções!$A54="","",Manutenções!$H54)</f>
        <v/>
      </c>
      <c r="G87">
        <f>IF(Manutenções!$A54="","",Manutenções!$I54)</f>
        <v/>
      </c>
    </row>
    <row r="88">
      <c r="A88" s="44">
        <f>IF(Manutenções!$A55="","",Manutenções!$A55)</f>
        <v/>
      </c>
      <c r="B88">
        <f>IF(Manutenções!$A55="","",Manutenções!$B55)</f>
        <v/>
      </c>
      <c r="C88">
        <f>IF(Manutenções!$A55="","",Manutenções!$C55)</f>
        <v/>
      </c>
      <c r="D88">
        <f>IF(Manutenções!$A55="","",Manutenções!$F55)</f>
        <v/>
      </c>
      <c r="E88">
        <f>IF(Manutenções!$A55="","",Manutenções!$G55)</f>
        <v/>
      </c>
      <c r="F88">
        <f>IF(Manutenções!$A55="","",Manutenções!$H55)</f>
        <v/>
      </c>
      <c r="G88">
        <f>IF(Manutenções!$A55="","",Manutenções!$I55)</f>
        <v/>
      </c>
    </row>
    <row r="89">
      <c r="A89" s="44">
        <f>IF(Manutenções!$A56="","",Manutenções!$A56)</f>
        <v/>
      </c>
      <c r="B89">
        <f>IF(Manutenções!$A56="","",Manutenções!$B56)</f>
        <v/>
      </c>
      <c r="C89">
        <f>IF(Manutenções!$A56="","",Manutenções!$C56)</f>
        <v/>
      </c>
      <c r="D89">
        <f>IF(Manutenções!$A56="","",Manutenções!$F56)</f>
        <v/>
      </c>
      <c r="E89">
        <f>IF(Manutenções!$A56="","",Manutenções!$G56)</f>
        <v/>
      </c>
      <c r="F89">
        <f>IF(Manutenções!$A56="","",Manutenções!$H56)</f>
        <v/>
      </c>
      <c r="G89">
        <f>IF(Manutenções!$A56="","",Manutenções!$I56)</f>
        <v/>
      </c>
    </row>
    <row r="90">
      <c r="A90" s="44">
        <f>IF(Manutenções!$A57="","",Manutenções!$A57)</f>
        <v/>
      </c>
      <c r="B90">
        <f>IF(Manutenções!$A57="","",Manutenções!$B57)</f>
        <v/>
      </c>
      <c r="C90">
        <f>IF(Manutenções!$A57="","",Manutenções!$C57)</f>
        <v/>
      </c>
      <c r="D90">
        <f>IF(Manutenções!$A57="","",Manutenções!$F57)</f>
        <v/>
      </c>
      <c r="E90">
        <f>IF(Manutenções!$A57="","",Manutenções!$G57)</f>
        <v/>
      </c>
      <c r="F90">
        <f>IF(Manutenções!$A57="","",Manutenções!$H57)</f>
        <v/>
      </c>
      <c r="G90">
        <f>IF(Manutenções!$A57="","",Manutenções!$I57)</f>
        <v/>
      </c>
    </row>
    <row r="91">
      <c r="A91" s="44">
        <f>IF(Manutenções!$A58="","",Manutenções!$A58)</f>
        <v/>
      </c>
      <c r="B91">
        <f>IF(Manutenções!$A58="","",Manutenções!$B58)</f>
        <v/>
      </c>
      <c r="C91">
        <f>IF(Manutenções!$A58="","",Manutenções!$C58)</f>
        <v/>
      </c>
      <c r="D91">
        <f>IF(Manutenções!$A58="","",Manutenções!$F58)</f>
        <v/>
      </c>
      <c r="E91">
        <f>IF(Manutenções!$A58="","",Manutenções!$G58)</f>
        <v/>
      </c>
      <c r="F91">
        <f>IF(Manutenções!$A58="","",Manutenções!$H58)</f>
        <v/>
      </c>
      <c r="G91">
        <f>IF(Manutenções!$A58="","",Manutenções!$I58)</f>
        <v/>
      </c>
    </row>
    <row r="92">
      <c r="A92" s="44">
        <f>IF(Manutenções!$A59="","",Manutenções!$A59)</f>
        <v/>
      </c>
      <c r="B92">
        <f>IF(Manutenções!$A59="","",Manutenções!$B59)</f>
        <v/>
      </c>
      <c r="C92">
        <f>IF(Manutenções!$A59="","",Manutenções!$C59)</f>
        <v/>
      </c>
      <c r="D92">
        <f>IF(Manutenções!$A59="","",Manutenções!$F59)</f>
        <v/>
      </c>
      <c r="E92">
        <f>IF(Manutenções!$A59="","",Manutenções!$G59)</f>
        <v/>
      </c>
      <c r="F92">
        <f>IF(Manutenções!$A59="","",Manutenções!$H59)</f>
        <v/>
      </c>
      <c r="G92">
        <f>IF(Manutenções!$A59="","",Manutenções!$I59)</f>
        <v/>
      </c>
    </row>
    <row r="93">
      <c r="A93" s="44">
        <f>IF(Manutenções!$A60="","",Manutenções!$A60)</f>
        <v/>
      </c>
      <c r="B93">
        <f>IF(Manutenções!$A60="","",Manutenções!$B60)</f>
        <v/>
      </c>
      <c r="C93">
        <f>IF(Manutenções!$A60="","",Manutenções!$C60)</f>
        <v/>
      </c>
      <c r="D93">
        <f>IF(Manutenções!$A60="","",Manutenções!$F60)</f>
        <v/>
      </c>
      <c r="E93">
        <f>IF(Manutenções!$A60="","",Manutenções!$G60)</f>
        <v/>
      </c>
      <c r="F93">
        <f>IF(Manutenções!$A60="","",Manutenções!$H60)</f>
        <v/>
      </c>
      <c r="G93">
        <f>IF(Manutenções!$A60="","",Manutenções!$I60)</f>
        <v/>
      </c>
    </row>
    <row r="94">
      <c r="A94" s="44">
        <f>IF(Manutenções!$A61="","",Manutenções!$A61)</f>
        <v/>
      </c>
      <c r="B94">
        <f>IF(Manutenções!$A61="","",Manutenções!$B61)</f>
        <v/>
      </c>
      <c r="C94">
        <f>IF(Manutenções!$A61="","",Manutenções!$C61)</f>
        <v/>
      </c>
      <c r="D94">
        <f>IF(Manutenções!$A61="","",Manutenções!$F61)</f>
        <v/>
      </c>
      <c r="E94">
        <f>IF(Manutenções!$A61="","",Manutenções!$G61)</f>
        <v/>
      </c>
      <c r="F94">
        <f>IF(Manutenções!$A61="","",Manutenções!$H61)</f>
        <v/>
      </c>
      <c r="G94">
        <f>IF(Manutenções!$A61="","",Manutenções!$I61)</f>
        <v/>
      </c>
    </row>
    <row r="95">
      <c r="A95" s="44">
        <f>IF(Manutenções!$A62="","",Manutenções!$A62)</f>
        <v/>
      </c>
      <c r="B95">
        <f>IF(Manutenções!$A62="","",Manutenções!$B62)</f>
        <v/>
      </c>
      <c r="C95">
        <f>IF(Manutenções!$A62="","",Manutenções!$C62)</f>
        <v/>
      </c>
      <c r="D95">
        <f>IF(Manutenções!$A62="","",Manutenções!$F62)</f>
        <v/>
      </c>
      <c r="E95">
        <f>IF(Manutenções!$A62="","",Manutenções!$G62)</f>
        <v/>
      </c>
      <c r="F95">
        <f>IF(Manutenções!$A62="","",Manutenções!$H62)</f>
        <v/>
      </c>
      <c r="G95">
        <f>IF(Manutenções!$A62="","",Manutenções!$I62)</f>
        <v/>
      </c>
    </row>
    <row r="96">
      <c r="A96" s="44">
        <f>IF(Manutenções!$A63="","",Manutenções!$A63)</f>
        <v/>
      </c>
      <c r="B96">
        <f>IF(Manutenções!$A63="","",Manutenções!$B63)</f>
        <v/>
      </c>
      <c r="C96">
        <f>IF(Manutenções!$A63="","",Manutenções!$C63)</f>
        <v/>
      </c>
      <c r="D96">
        <f>IF(Manutenções!$A63="","",Manutenções!$F63)</f>
        <v/>
      </c>
      <c r="E96">
        <f>IF(Manutenções!$A63="","",Manutenções!$G63)</f>
        <v/>
      </c>
      <c r="F96">
        <f>IF(Manutenções!$A63="","",Manutenções!$H63)</f>
        <v/>
      </c>
      <c r="G96">
        <f>IF(Manutenções!$A63="","",Manutenções!$I63)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4A3B8"/>
    <outlinePr summaryBelow="1" summaryRight="1"/>
    <pageSetUpPr/>
  </sheetPr>
  <dimension ref="A1:Q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4" customWidth="1" min="4" max="4"/>
    <col width="12" customWidth="1" min="5" max="5"/>
    <col width="9" customWidth="1" min="6" max="6"/>
    <col width="12" customWidth="1" min="7" max="7"/>
    <col width="9" customWidth="1" min="8" max="8"/>
    <col width="13" customWidth="1" min="9" max="9"/>
    <col width="14" customWidth="1" min="10" max="10"/>
    <col width="11" customWidth="1" min="11" max="11"/>
    <col width="10" customWidth="1" min="12" max="12"/>
    <col width="12" customWidth="1" min="13" max="13"/>
    <col width="10" customWidth="1" min="14" max="14"/>
    <col width="11" customWidth="1" min="15" max="15"/>
    <col width="40" customWidth="1" min="16" max="16"/>
    <col width="30" customWidth="1" min="17" max="17"/>
  </cols>
  <sheetData>
    <row r="1">
      <c r="A1" s="50" t="inlineStr">
        <is>
          <t>Resumo por Dia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Data</t>
        </is>
      </c>
      <c r="B3" s="30" t="inlineStr">
        <is>
          <t>Equipamentos</t>
        </is>
      </c>
      <c r="C3" s="30" t="inlineStr">
        <is>
          <t>Operadores</t>
        </is>
      </c>
      <c r="D3" s="30" t="inlineStr">
        <is>
          <t>Consumo total (L)</t>
        </is>
      </c>
      <c r="E3" s="30" t="inlineStr">
        <is>
          <t>Horas totais</t>
        </is>
      </c>
      <c r="F3" s="30" t="inlineStr">
        <is>
          <t>L/h</t>
        </is>
      </c>
      <c r="G3" s="30" t="inlineStr">
        <is>
          <t>Produção (t)</t>
        </is>
      </c>
      <c r="H3" s="30" t="inlineStr">
        <is>
          <t>L/Ton</t>
        </is>
      </c>
      <c r="I3" s="30" t="inlineStr">
        <is>
          <t>Diesel S-10 (L)</t>
        </is>
      </c>
      <c r="J3" s="30" t="inlineStr">
        <is>
          <t>Diesel S-500 (L)</t>
        </is>
      </c>
      <c r="K3" s="30" t="inlineStr">
        <is>
          <t>ARLA (L)</t>
        </is>
      </c>
      <c r="L3" s="30" t="inlineStr">
        <is>
          <t>KM</t>
        </is>
      </c>
      <c r="M3" s="30" t="inlineStr">
        <is>
          <t>Média km/L</t>
        </is>
      </c>
      <c r="N3" s="30" t="inlineStr">
        <is>
          <t>Viagens</t>
        </is>
      </c>
      <c r="O3" s="30" t="inlineStr">
        <is>
          <t>Manutenções</t>
        </is>
      </c>
      <c r="P3" s="30" t="inlineStr">
        <is>
          <t>Quais equipamentos</t>
        </is>
      </c>
      <c r="Q3" s="30" t="inlineStr">
        <is>
          <t>Quais operadores</t>
        </is>
      </c>
    </row>
    <row r="4">
      <c r="A4" s="51" t="n">
        <v>46238</v>
      </c>
      <c r="B4" s="52" t="n">
        <v>8</v>
      </c>
      <c r="C4" s="52" t="n">
        <v>5</v>
      </c>
      <c r="D4" s="53" t="n">
        <v>1033</v>
      </c>
      <c r="E4" s="53" t="n">
        <v>67.3</v>
      </c>
      <c r="F4" s="53" t="n">
        <v>15.35</v>
      </c>
      <c r="G4" s="52" t="n">
        <v>1028</v>
      </c>
      <c r="H4" s="53" t="n">
        <v>1</v>
      </c>
      <c r="I4" s="53" t="n">
        <v>930</v>
      </c>
      <c r="J4" s="53" t="n">
        <v>103</v>
      </c>
      <c r="K4" s="53" t="n">
        <v>7</v>
      </c>
      <c r="L4" s="53" t="n">
        <v>1021</v>
      </c>
      <c r="M4" s="53" t="n">
        <v>0.99</v>
      </c>
      <c r="N4" s="52" t="n">
        <v>34</v>
      </c>
      <c r="O4" s="52" t="n">
        <v>0</v>
      </c>
      <c r="P4" s="52" t="inlineStr">
        <is>
          <t>CB-01, CB-11, CB-17, CB-22, MG-01, PC-01, PC-02, RD-01</t>
        </is>
      </c>
      <c r="Q4" s="52" t="inlineStr">
        <is>
          <t>Antônio, Carlos, José, Marcos, Saulo</t>
        </is>
      </c>
    </row>
    <row r="5">
      <c r="A5" s="51" t="n">
        <v>46239</v>
      </c>
      <c r="B5" s="52" t="n">
        <v>8</v>
      </c>
      <c r="C5" s="52" t="n">
        <v>5</v>
      </c>
      <c r="D5" s="53" t="n">
        <v>1098</v>
      </c>
      <c r="E5" s="53" t="n">
        <v>71.5</v>
      </c>
      <c r="F5" s="53" t="n">
        <v>15.36</v>
      </c>
      <c r="G5" s="52" t="n">
        <v>942</v>
      </c>
      <c r="H5" s="53" t="n">
        <v>1.17</v>
      </c>
      <c r="I5" s="53" t="n">
        <v>1003</v>
      </c>
      <c r="J5" s="53" t="n">
        <v>95</v>
      </c>
      <c r="K5" s="53" t="n">
        <v>8</v>
      </c>
      <c r="L5" s="53" t="n">
        <v>992</v>
      </c>
      <c r="M5" s="53" t="n">
        <v>0.9</v>
      </c>
      <c r="N5" s="52" t="n">
        <v>32</v>
      </c>
      <c r="O5" s="52" t="n">
        <v>0</v>
      </c>
      <c r="P5" s="52" t="inlineStr">
        <is>
          <t>CB-01, CB-11, CB-17, CB-22, MG-01, PC-01, PC-02, RD-01</t>
        </is>
      </c>
      <c r="Q5" s="52" t="inlineStr">
        <is>
          <t>Antônio, Carlos, José, Marcos, Saulo</t>
        </is>
      </c>
    </row>
    <row r="6">
      <c r="A6" s="51" t="n">
        <v>46240</v>
      </c>
      <c r="B6" s="52" t="n">
        <v>8</v>
      </c>
      <c r="C6" s="52" t="n">
        <v>5</v>
      </c>
      <c r="D6" s="53" t="n">
        <v>1145</v>
      </c>
      <c r="E6" s="53" t="n">
        <v>74.09999999999999</v>
      </c>
      <c r="F6" s="53" t="n">
        <v>15.45</v>
      </c>
      <c r="G6" s="52" t="n">
        <v>1014</v>
      </c>
      <c r="H6" s="53" t="n">
        <v>1.13</v>
      </c>
      <c r="I6" s="53" t="n">
        <v>1045</v>
      </c>
      <c r="J6" s="53" t="n">
        <v>100</v>
      </c>
      <c r="K6" s="53" t="n">
        <v>7</v>
      </c>
      <c r="L6" s="53" t="n">
        <v>1103</v>
      </c>
      <c r="M6" s="53" t="n">
        <v>0.96</v>
      </c>
      <c r="N6" s="52" t="n">
        <v>35</v>
      </c>
      <c r="O6" s="52" t="n">
        <v>0</v>
      </c>
      <c r="P6" s="52" t="inlineStr">
        <is>
          <t>CB-01, CB-11, CB-17, CB-22, MG-01, PC-01, PC-02, RD-01</t>
        </is>
      </c>
      <c r="Q6" s="52" t="inlineStr">
        <is>
          <t>Antônio, Carlos, José, Marcos, Saulo</t>
        </is>
      </c>
    </row>
    <row r="7">
      <c r="A7" s="51" t="n">
        <v>46241</v>
      </c>
      <c r="B7" s="52" t="n">
        <v>8</v>
      </c>
      <c r="C7" s="52" t="n">
        <v>5</v>
      </c>
      <c r="D7" s="53" t="n">
        <v>1269</v>
      </c>
      <c r="E7" s="53" t="n">
        <v>71.2</v>
      </c>
      <c r="F7" s="53" t="n">
        <v>17.82</v>
      </c>
      <c r="G7" s="52" t="n">
        <v>1306</v>
      </c>
      <c r="H7" s="53" t="n">
        <v>0.97</v>
      </c>
      <c r="I7" s="53" t="n">
        <v>1113</v>
      </c>
      <c r="J7" s="53" t="n">
        <v>156</v>
      </c>
      <c r="K7" s="53" t="n">
        <v>12</v>
      </c>
      <c r="L7" s="53" t="n">
        <v>1338</v>
      </c>
      <c r="M7" s="53" t="n">
        <v>1.05</v>
      </c>
      <c r="N7" s="52" t="n">
        <v>43</v>
      </c>
      <c r="O7" s="52" t="n">
        <v>0</v>
      </c>
      <c r="P7" s="52" t="inlineStr">
        <is>
          <t>CB-01, CB-11, CB-17, CB-22, MG-01, PC-01, PC-02, RD-01</t>
        </is>
      </c>
      <c r="Q7" s="52" t="inlineStr">
        <is>
          <t>Antônio, Carlos, José, Marcos, Saulo</t>
        </is>
      </c>
    </row>
    <row r="8">
      <c r="A8" s="51" t="n">
        <v>46242</v>
      </c>
      <c r="B8" s="52" t="n">
        <v>8</v>
      </c>
      <c r="C8" s="52" t="n">
        <v>5</v>
      </c>
      <c r="D8" s="53" t="n">
        <v>1003</v>
      </c>
      <c r="E8" s="53" t="n">
        <v>69.90000000000001</v>
      </c>
      <c r="F8" s="53" t="n">
        <v>14.35</v>
      </c>
      <c r="G8" s="52" t="n">
        <v>844</v>
      </c>
      <c r="H8" s="53" t="n">
        <v>1.19</v>
      </c>
      <c r="I8" s="53" t="n">
        <v>936</v>
      </c>
      <c r="J8" s="53" t="n">
        <v>67</v>
      </c>
      <c r="K8" s="53" t="n">
        <v>10</v>
      </c>
      <c r="L8" s="53" t="n">
        <v>923</v>
      </c>
      <c r="M8" s="53" t="n">
        <v>0.92</v>
      </c>
      <c r="N8" s="52" t="n">
        <v>28</v>
      </c>
      <c r="O8" s="52" t="n">
        <v>0</v>
      </c>
      <c r="P8" s="52" t="inlineStr">
        <is>
          <t>CB-01, CB-11, CB-17, CB-22, MG-01, PC-01, PC-02, RD-01</t>
        </is>
      </c>
      <c r="Q8" s="52" t="inlineStr">
        <is>
          <t>Antônio, Carlos, José, Marcos, Saulo</t>
        </is>
      </c>
    </row>
    <row r="9">
      <c r="A9" s="51" t="n">
        <v>46244</v>
      </c>
      <c r="B9" s="52" t="n">
        <v>8</v>
      </c>
      <c r="C9" s="52" t="n">
        <v>5</v>
      </c>
      <c r="D9" s="53" t="n">
        <v>1264</v>
      </c>
      <c r="E9" s="53" t="n">
        <v>73.8</v>
      </c>
      <c r="F9" s="53" t="n">
        <v>17.13</v>
      </c>
      <c r="G9" s="52" t="n">
        <v>1184</v>
      </c>
      <c r="H9" s="53" t="n">
        <v>1.07</v>
      </c>
      <c r="I9" s="53" t="n">
        <v>1176</v>
      </c>
      <c r="J9" s="53" t="n">
        <v>88</v>
      </c>
      <c r="K9" s="53" t="n">
        <v>11</v>
      </c>
      <c r="L9" s="53" t="n">
        <v>1235</v>
      </c>
      <c r="M9" s="53" t="n">
        <v>0.98</v>
      </c>
      <c r="N9" s="52" t="n">
        <v>41</v>
      </c>
      <c r="O9" s="52" t="n">
        <v>0</v>
      </c>
      <c r="P9" s="52" t="inlineStr">
        <is>
          <t>CB-01, CB-11, CB-17, CB-22, MG-01, PC-01, PC-02, RD-01</t>
        </is>
      </c>
      <c r="Q9" s="52" t="inlineStr">
        <is>
          <t>Antônio, Carlos, José, Marcos, Saulo</t>
        </is>
      </c>
    </row>
    <row r="10">
      <c r="A10" s="51" t="n">
        <v>46245</v>
      </c>
      <c r="B10" s="52" t="n">
        <v>7</v>
      </c>
      <c r="C10" s="52" t="n">
        <v>5</v>
      </c>
      <c r="D10" s="53" t="n">
        <v>942</v>
      </c>
      <c r="E10" s="53" t="n">
        <v>62.1</v>
      </c>
      <c r="F10" s="53" t="n">
        <v>15.17</v>
      </c>
      <c r="G10" s="52" t="n">
        <v>992</v>
      </c>
      <c r="H10" s="53" t="n">
        <v>0.95</v>
      </c>
      <c r="I10" s="53" t="n">
        <v>867</v>
      </c>
      <c r="J10" s="53" t="n">
        <v>75</v>
      </c>
      <c r="K10" s="53" t="n">
        <v>8</v>
      </c>
      <c r="L10" s="53" t="n">
        <v>1042</v>
      </c>
      <c r="M10" s="53" t="n">
        <v>1.11</v>
      </c>
      <c r="N10" s="52" t="n">
        <v>32</v>
      </c>
      <c r="O10" s="52" t="n">
        <v>1</v>
      </c>
      <c r="P10" s="52" t="inlineStr">
        <is>
          <t>CB-01, CB-11, CB-17, CB-22, PC-01, PC-02, RD-01</t>
        </is>
      </c>
      <c r="Q10" s="52" t="inlineStr">
        <is>
          <t>Antônio, Carlos, José, Marcos, Saulo</t>
        </is>
      </c>
    </row>
    <row r="11">
      <c r="A11" s="51" t="n">
        <v>46246</v>
      </c>
      <c r="B11" s="52" t="n">
        <v>8</v>
      </c>
      <c r="C11" s="52" t="n">
        <v>5</v>
      </c>
      <c r="D11" s="53" t="n">
        <v>1257</v>
      </c>
      <c r="E11" s="53" t="n">
        <v>70.5</v>
      </c>
      <c r="F11" s="53" t="n">
        <v>17.83</v>
      </c>
      <c r="G11" s="52" t="n">
        <v>1204</v>
      </c>
      <c r="H11" s="53" t="n">
        <v>1.04</v>
      </c>
      <c r="I11" s="53" t="n">
        <v>1108</v>
      </c>
      <c r="J11" s="53" t="n">
        <v>149</v>
      </c>
      <c r="K11" s="53" t="n">
        <v>13</v>
      </c>
      <c r="L11" s="53" t="n">
        <v>1300</v>
      </c>
      <c r="M11" s="53" t="n">
        <v>1.03</v>
      </c>
      <c r="N11" s="52" t="n">
        <v>40</v>
      </c>
      <c r="O11" s="52" t="n">
        <v>0</v>
      </c>
      <c r="P11" s="52" t="inlineStr">
        <is>
          <t>CB-01, CB-11, CB-17, CB-22, MG-01, PC-01, PC-02, RD-01</t>
        </is>
      </c>
      <c r="Q11" s="52" t="inlineStr">
        <is>
          <t>Antônio, Carlos, José, Marcos, Saulo</t>
        </is>
      </c>
    </row>
    <row r="12">
      <c r="A12" s="51" t="n">
        <v>46247</v>
      </c>
      <c r="B12" s="52" t="n">
        <v>8</v>
      </c>
      <c r="C12" s="52" t="n">
        <v>5</v>
      </c>
      <c r="D12" s="53" t="n">
        <v>1163</v>
      </c>
      <c r="E12" s="53" t="n">
        <v>73.2</v>
      </c>
      <c r="F12" s="53" t="n">
        <v>15.89</v>
      </c>
      <c r="G12" s="52" t="n">
        <v>1030</v>
      </c>
      <c r="H12" s="53" t="n">
        <v>1.13</v>
      </c>
      <c r="I12" s="53" t="n">
        <v>1006</v>
      </c>
      <c r="J12" s="53" t="n">
        <v>157</v>
      </c>
      <c r="K12" s="53" t="n">
        <v>12</v>
      </c>
      <c r="L12" s="53" t="n">
        <v>1104</v>
      </c>
      <c r="M12" s="53" t="n">
        <v>0.95</v>
      </c>
      <c r="N12" s="52" t="n">
        <v>35</v>
      </c>
      <c r="O12" s="52" t="n">
        <v>0</v>
      </c>
      <c r="P12" s="52" t="inlineStr">
        <is>
          <t>CB-01, CB-11, CB-17, CB-22, MG-01, PC-01, PC-02, RD-01</t>
        </is>
      </c>
      <c r="Q12" s="52" t="inlineStr">
        <is>
          <t>Antônio, Carlos, José, Marcos, Saulo</t>
        </is>
      </c>
    </row>
    <row r="13">
      <c r="A13" s="51" t="n">
        <v>46248</v>
      </c>
      <c r="B13" s="52" t="n">
        <v>8</v>
      </c>
      <c r="C13" s="52" t="n">
        <v>5</v>
      </c>
      <c r="D13" s="53" t="n">
        <v>1154</v>
      </c>
      <c r="E13" s="53" t="n">
        <v>73.40000000000001</v>
      </c>
      <c r="F13" s="53" t="n">
        <v>15.72</v>
      </c>
      <c r="G13" s="52" t="n">
        <v>1064</v>
      </c>
      <c r="H13" s="53" t="n">
        <v>1.08</v>
      </c>
      <c r="I13" s="53" t="n">
        <v>1036</v>
      </c>
      <c r="J13" s="53" t="n">
        <v>118</v>
      </c>
      <c r="K13" s="53" t="n">
        <v>9</v>
      </c>
      <c r="L13" s="53" t="n">
        <v>1094</v>
      </c>
      <c r="M13" s="53" t="n">
        <v>0.95</v>
      </c>
      <c r="N13" s="52" t="n">
        <v>35</v>
      </c>
      <c r="O13" s="52" t="n">
        <v>0</v>
      </c>
      <c r="P13" s="52" t="inlineStr">
        <is>
          <t>CB-01, CB-11, CB-17, CB-22, MG-01, PC-01, PC-02, RD-01</t>
        </is>
      </c>
      <c r="Q13" s="52" t="inlineStr">
        <is>
          <t>Antônio, Carlos, José, Marcos, Saulo</t>
        </is>
      </c>
    </row>
    <row r="14">
      <c r="A14" s="51" t="n">
        <v>46249</v>
      </c>
      <c r="B14" s="52" t="n">
        <v>8</v>
      </c>
      <c r="C14" s="52" t="n">
        <v>5</v>
      </c>
      <c r="D14" s="53" t="n">
        <v>1122</v>
      </c>
      <c r="E14" s="53" t="n">
        <v>73.40000000000001</v>
      </c>
      <c r="F14" s="53" t="n">
        <v>15.29</v>
      </c>
      <c r="G14" s="52" t="n">
        <v>912</v>
      </c>
      <c r="H14" s="53" t="n">
        <v>1.23</v>
      </c>
      <c r="I14" s="53" t="n">
        <v>953</v>
      </c>
      <c r="J14" s="53" t="n">
        <v>169</v>
      </c>
      <c r="K14" s="53" t="n">
        <v>11</v>
      </c>
      <c r="L14" s="53" t="n">
        <v>967</v>
      </c>
      <c r="M14" s="53" t="n">
        <v>0.86</v>
      </c>
      <c r="N14" s="52" t="n">
        <v>31</v>
      </c>
      <c r="O14" s="52" t="n">
        <v>0</v>
      </c>
      <c r="P14" s="52" t="inlineStr">
        <is>
          <t>CB-01, CB-11, CB-17, CB-22, MG-01, PC-01, PC-02, RD-01</t>
        </is>
      </c>
      <c r="Q14" s="52" t="inlineStr">
        <is>
          <t>Antônio, Carlos, José, Marcos, Saulo</t>
        </is>
      </c>
    </row>
    <row r="15">
      <c r="A15" s="51" t="n">
        <v>46251</v>
      </c>
      <c r="B15" s="52" t="n">
        <v>8</v>
      </c>
      <c r="C15" s="52" t="n">
        <v>5</v>
      </c>
      <c r="D15" s="53" t="n">
        <v>1115</v>
      </c>
      <c r="E15" s="53" t="n">
        <v>70.90000000000001</v>
      </c>
      <c r="F15" s="53" t="n">
        <v>15.73</v>
      </c>
      <c r="G15" s="52" t="n">
        <v>1010</v>
      </c>
      <c r="H15" s="53" t="n">
        <v>1.1</v>
      </c>
      <c r="I15" s="53" t="n">
        <v>955</v>
      </c>
      <c r="J15" s="53" t="n">
        <v>160</v>
      </c>
      <c r="K15" s="53" t="n">
        <v>10</v>
      </c>
      <c r="L15" s="53" t="n">
        <v>1045</v>
      </c>
      <c r="M15" s="53" t="n">
        <v>0.9399999999999999</v>
      </c>
      <c r="N15" s="52" t="n">
        <v>34</v>
      </c>
      <c r="O15" s="52" t="n">
        <v>0</v>
      </c>
      <c r="P15" s="52" t="inlineStr">
        <is>
          <t>CB-01, CB-11, CB-17, CB-22, MG-01, PC-01, PC-02, RD-01</t>
        </is>
      </c>
      <c r="Q15" s="52" t="inlineStr">
        <is>
          <t>Antônio, Carlos, José, Marcos, Saulo</t>
        </is>
      </c>
    </row>
    <row r="16">
      <c r="A16" s="51" t="n">
        <v>46252</v>
      </c>
      <c r="B16" s="52" t="n">
        <v>8</v>
      </c>
      <c r="C16" s="52" t="n">
        <v>5</v>
      </c>
      <c r="D16" s="53" t="n">
        <v>1079</v>
      </c>
      <c r="E16" s="53" t="n">
        <v>73.3</v>
      </c>
      <c r="F16" s="53" t="n">
        <v>14.72</v>
      </c>
      <c r="G16" s="52" t="n">
        <v>1000</v>
      </c>
      <c r="H16" s="53" t="n">
        <v>1.08</v>
      </c>
      <c r="I16" s="53" t="n">
        <v>941</v>
      </c>
      <c r="J16" s="53" t="n">
        <v>138</v>
      </c>
      <c r="K16" s="53" t="n">
        <v>8</v>
      </c>
      <c r="L16" s="53" t="n">
        <v>1006</v>
      </c>
      <c r="M16" s="53" t="n">
        <v>0.93</v>
      </c>
      <c r="N16" s="52" t="n">
        <v>34</v>
      </c>
      <c r="O16" s="52" t="n">
        <v>0</v>
      </c>
      <c r="P16" s="52" t="inlineStr">
        <is>
          <t>CB-01, CB-11, CB-17, CB-22, MG-01, PC-01, PC-02, RD-01</t>
        </is>
      </c>
      <c r="Q16" s="52" t="inlineStr">
        <is>
          <t>Antônio, Carlos, José, Marcos, Saulo</t>
        </is>
      </c>
    </row>
    <row r="17">
      <c r="A17" s="51" t="n">
        <v>46253</v>
      </c>
      <c r="B17" s="52" t="n">
        <v>8</v>
      </c>
      <c r="C17" s="52" t="n">
        <v>5</v>
      </c>
      <c r="D17" s="53" t="n">
        <v>1091</v>
      </c>
      <c r="E17" s="53" t="n">
        <v>73.7</v>
      </c>
      <c r="F17" s="53" t="n">
        <v>14.8</v>
      </c>
      <c r="G17" s="52" t="n">
        <v>954</v>
      </c>
      <c r="H17" s="53" t="n">
        <v>1.14</v>
      </c>
      <c r="I17" s="53" t="n">
        <v>911</v>
      </c>
      <c r="J17" s="53" t="n">
        <v>180</v>
      </c>
      <c r="K17" s="53" t="n">
        <v>9</v>
      </c>
      <c r="L17" s="53" t="n">
        <v>979</v>
      </c>
      <c r="M17" s="53" t="n">
        <v>0.9</v>
      </c>
      <c r="N17" s="52" t="n">
        <v>31</v>
      </c>
      <c r="O17" s="52" t="n">
        <v>0</v>
      </c>
      <c r="P17" s="52" t="inlineStr">
        <is>
          <t>CB-01, CB-11, CB-17, CB-22, MG-01, PC-01, PC-02, RD-01</t>
        </is>
      </c>
      <c r="Q17" s="52" t="inlineStr">
        <is>
          <t>Antônio, Carlos, José, Marcos, Saulo</t>
        </is>
      </c>
    </row>
    <row r="18">
      <c r="A18" s="51" t="n">
        <v>46254</v>
      </c>
      <c r="B18" s="52" t="n">
        <v>8</v>
      </c>
      <c r="C18" s="52" t="n">
        <v>5</v>
      </c>
      <c r="D18" s="53" t="n">
        <v>1180</v>
      </c>
      <c r="E18" s="53" t="n">
        <v>70.09999999999999</v>
      </c>
      <c r="F18" s="53" t="n">
        <v>16.83</v>
      </c>
      <c r="G18" s="52" t="n">
        <v>974</v>
      </c>
      <c r="H18" s="53" t="n">
        <v>1.21</v>
      </c>
      <c r="I18" s="53" t="n">
        <v>1045</v>
      </c>
      <c r="J18" s="53" t="n">
        <v>135</v>
      </c>
      <c r="K18" s="53" t="n">
        <v>12</v>
      </c>
      <c r="L18" s="53" t="n">
        <v>1043</v>
      </c>
      <c r="M18" s="53" t="n">
        <v>0.88</v>
      </c>
      <c r="N18" s="52" t="n">
        <v>33</v>
      </c>
      <c r="O18" s="52" t="n">
        <v>0</v>
      </c>
      <c r="P18" s="52" t="inlineStr">
        <is>
          <t>CB-01, CB-11, CB-17, CB-22, MG-01, PC-01, PC-02, RD-01</t>
        </is>
      </c>
      <c r="Q18" s="52" t="inlineStr">
        <is>
          <t>Antônio, Carlos, José, Marcos, Saulo</t>
        </is>
      </c>
    </row>
    <row r="19">
      <c r="A19" s="51" t="n">
        <v>46255</v>
      </c>
      <c r="B19" s="52" t="n">
        <v>7</v>
      </c>
      <c r="C19" s="52" t="n">
        <v>5</v>
      </c>
      <c r="D19" s="53" t="n">
        <v>863</v>
      </c>
      <c r="E19" s="53" t="n">
        <v>64.40000000000001</v>
      </c>
      <c r="F19" s="53" t="n">
        <v>13.4</v>
      </c>
      <c r="G19" s="52" t="n">
        <v>778</v>
      </c>
      <c r="H19" s="53" t="n">
        <v>1.11</v>
      </c>
      <c r="I19" s="53" t="n">
        <v>756</v>
      </c>
      <c r="J19" s="53" t="n">
        <v>107</v>
      </c>
      <c r="K19" s="53" t="n">
        <v>10</v>
      </c>
      <c r="L19" s="53" t="n">
        <v>855</v>
      </c>
      <c r="M19" s="53" t="n">
        <v>0.99</v>
      </c>
      <c r="N19" s="52" t="n">
        <v>26</v>
      </c>
      <c r="O19" s="52" t="n">
        <v>1</v>
      </c>
      <c r="P19" s="52" t="inlineStr">
        <is>
          <t>CB-01, CB-11, CB-17, CB-22, MG-01, PC-01, RD-01</t>
        </is>
      </c>
      <c r="Q19" s="52" t="inlineStr">
        <is>
          <t>Antônio, Carlos, José, Marcos, Saulo</t>
        </is>
      </c>
    </row>
    <row r="20">
      <c r="A20" s="51" t="n">
        <v>46256</v>
      </c>
      <c r="B20" s="52" t="n">
        <v>8</v>
      </c>
      <c r="C20" s="52" t="n">
        <v>5</v>
      </c>
      <c r="D20" s="53" t="n">
        <v>954</v>
      </c>
      <c r="E20" s="53" t="n">
        <v>69.40000000000001</v>
      </c>
      <c r="F20" s="53" t="n">
        <v>13.75</v>
      </c>
      <c r="G20" s="52" t="n">
        <v>766</v>
      </c>
      <c r="H20" s="53" t="n">
        <v>1.25</v>
      </c>
      <c r="I20" s="53" t="n">
        <v>840</v>
      </c>
      <c r="J20" s="53" t="n">
        <v>114</v>
      </c>
      <c r="K20" s="53" t="n">
        <v>7</v>
      </c>
      <c r="L20" s="53" t="n">
        <v>790</v>
      </c>
      <c r="M20" s="53" t="n">
        <v>0.83</v>
      </c>
      <c r="N20" s="52" t="n">
        <v>27</v>
      </c>
      <c r="O20" s="52" t="n">
        <v>0</v>
      </c>
      <c r="P20" s="52" t="inlineStr">
        <is>
          <t>CB-01, CB-11, CB-17, CB-22, MG-01, PC-01, PC-02, RD-01</t>
        </is>
      </c>
      <c r="Q20" s="52" t="inlineStr">
        <is>
          <t>Antônio, Carlos, José, Marcos, Saulo</t>
        </is>
      </c>
    </row>
    <row r="21">
      <c r="A21" s="51" t="n">
        <v>46258</v>
      </c>
      <c r="B21" s="52" t="n">
        <v>8</v>
      </c>
      <c r="C21" s="52" t="n">
        <v>5</v>
      </c>
      <c r="D21" s="53" t="n">
        <v>1085</v>
      </c>
      <c r="E21" s="53" t="n">
        <v>71.09999999999999</v>
      </c>
      <c r="F21" s="53" t="n">
        <v>15.26</v>
      </c>
      <c r="G21" s="52" t="n">
        <v>1038</v>
      </c>
      <c r="H21" s="53" t="n">
        <v>1.05</v>
      </c>
      <c r="I21" s="53" t="n">
        <v>922</v>
      </c>
      <c r="J21" s="53" t="n">
        <v>163</v>
      </c>
      <c r="K21" s="53" t="n">
        <v>9</v>
      </c>
      <c r="L21" s="53" t="n">
        <v>1117</v>
      </c>
      <c r="M21" s="53" t="n">
        <v>1.03</v>
      </c>
      <c r="N21" s="52" t="n">
        <v>34</v>
      </c>
      <c r="O21" s="52" t="n">
        <v>0</v>
      </c>
      <c r="P21" s="52" t="inlineStr">
        <is>
          <t>CB-01, CB-11, CB-17, CB-22, MG-01, PC-01, PC-02, RD-01</t>
        </is>
      </c>
      <c r="Q21" s="52" t="inlineStr">
        <is>
          <t>Antônio, Carlos, José, Marcos, Saulo</t>
        </is>
      </c>
    </row>
    <row r="22">
      <c r="A22" s="51" t="n">
        <v>46259</v>
      </c>
      <c r="B22" s="52" t="n">
        <v>8</v>
      </c>
      <c r="C22" s="52" t="n">
        <v>5</v>
      </c>
      <c r="D22" s="53" t="n">
        <v>1140</v>
      </c>
      <c r="E22" s="53" t="n">
        <v>71.7</v>
      </c>
      <c r="F22" s="53" t="n">
        <v>15.9</v>
      </c>
      <c r="G22" s="52" t="n">
        <v>940</v>
      </c>
      <c r="H22" s="53" t="n">
        <v>1.21</v>
      </c>
      <c r="I22" s="53" t="n">
        <v>1063</v>
      </c>
      <c r="J22" s="53" t="n">
        <v>77</v>
      </c>
      <c r="K22" s="53" t="n">
        <v>8</v>
      </c>
      <c r="L22" s="53" t="n">
        <v>1003</v>
      </c>
      <c r="M22" s="53" t="n">
        <v>0.88</v>
      </c>
      <c r="N22" s="52" t="n">
        <v>32</v>
      </c>
      <c r="O22" s="52" t="n">
        <v>0</v>
      </c>
      <c r="P22" s="52" t="inlineStr">
        <is>
          <t>CB-01, CB-11, CB-17, CB-22, MG-01, PC-01, PC-02, RD-01</t>
        </is>
      </c>
      <c r="Q22" s="52" t="inlineStr">
        <is>
          <t>Antônio, Carlos, José, Marcos, Saulo</t>
        </is>
      </c>
    </row>
    <row r="23">
      <c r="A23" s="51" t="n">
        <v>46260</v>
      </c>
      <c r="B23" s="52" t="n">
        <v>7</v>
      </c>
      <c r="C23" s="52" t="n">
        <v>4</v>
      </c>
      <c r="D23" s="53" t="n">
        <v>974</v>
      </c>
      <c r="E23" s="53" t="n">
        <v>63.6</v>
      </c>
      <c r="F23" s="53" t="n">
        <v>15.31</v>
      </c>
      <c r="G23" s="52" t="n">
        <v>1038</v>
      </c>
      <c r="H23" s="53" t="n">
        <v>0.9399999999999999</v>
      </c>
      <c r="I23" s="53" t="n">
        <v>886</v>
      </c>
      <c r="J23" s="53" t="n">
        <v>88</v>
      </c>
      <c r="K23" s="53" t="n">
        <v>9</v>
      </c>
      <c r="L23" s="53" t="n">
        <v>1058</v>
      </c>
      <c r="M23" s="53" t="n">
        <v>1.09</v>
      </c>
      <c r="N23" s="52" t="n">
        <v>33</v>
      </c>
      <c r="O23" s="52" t="n">
        <v>1</v>
      </c>
      <c r="P23" s="52" t="inlineStr">
        <is>
          <t>CB-01, CB-11, CB-17, CB-22, MG-01, PC-02, RD-01</t>
        </is>
      </c>
      <c r="Q23" s="52" t="inlineStr">
        <is>
          <t>Carlos, José, Marcos, Saulo</t>
        </is>
      </c>
    </row>
    <row r="24">
      <c r="A24" s="51" t="n">
        <v>46261</v>
      </c>
      <c r="B24" s="52" t="n">
        <v>8</v>
      </c>
      <c r="C24" s="52" t="n">
        <v>5</v>
      </c>
      <c r="D24" s="53" t="n">
        <v>1123</v>
      </c>
      <c r="E24" s="53" t="n">
        <v>71.90000000000001</v>
      </c>
      <c r="F24" s="53" t="n">
        <v>15.62</v>
      </c>
      <c r="G24" s="52" t="n">
        <v>1024</v>
      </c>
      <c r="H24" s="53" t="n">
        <v>1.1</v>
      </c>
      <c r="I24" s="53" t="n">
        <v>953</v>
      </c>
      <c r="J24" s="53" t="n">
        <v>170</v>
      </c>
      <c r="K24" s="53" t="n">
        <v>10</v>
      </c>
      <c r="L24" s="53" t="n">
        <v>1076</v>
      </c>
      <c r="M24" s="53" t="n">
        <v>0.96</v>
      </c>
      <c r="N24" s="52" t="n">
        <v>34</v>
      </c>
      <c r="O24" s="52" t="n">
        <v>0</v>
      </c>
      <c r="P24" s="52" t="inlineStr">
        <is>
          <t>CB-01, CB-11, CB-17, CB-22, MG-01, PC-01, PC-02, RD-01</t>
        </is>
      </c>
      <c r="Q24" s="52" t="inlineStr">
        <is>
          <t>Antônio, Carlos, José, Marcos, Saulo</t>
        </is>
      </c>
    </row>
    <row r="25">
      <c r="A25" s="51" t="n">
        <v>46262</v>
      </c>
      <c r="B25" s="52" t="n">
        <v>8</v>
      </c>
      <c r="C25" s="52" t="n">
        <v>5</v>
      </c>
      <c r="D25" s="53" t="n">
        <v>1080</v>
      </c>
      <c r="E25" s="53" t="n">
        <v>70.8</v>
      </c>
      <c r="F25" s="53" t="n">
        <v>15.25</v>
      </c>
      <c r="G25" s="52" t="n">
        <v>928</v>
      </c>
      <c r="H25" s="53" t="n">
        <v>1.16</v>
      </c>
      <c r="I25" s="53" t="n">
        <v>999</v>
      </c>
      <c r="J25" s="53" t="n">
        <v>81</v>
      </c>
      <c r="K25" s="53" t="n">
        <v>9</v>
      </c>
      <c r="L25" s="53" t="n">
        <v>1032</v>
      </c>
      <c r="M25" s="53" t="n">
        <v>0.96</v>
      </c>
      <c r="N25" s="52" t="n">
        <v>32</v>
      </c>
      <c r="O25" s="52" t="n">
        <v>0</v>
      </c>
      <c r="P25" s="52" t="inlineStr">
        <is>
          <t>CB-01, CB-11, CB-17, CB-22, MG-01, PC-01, PC-02, RD-01</t>
        </is>
      </c>
      <c r="Q25" s="52" t="inlineStr">
        <is>
          <t>Antônio, Carlos, José, Marcos, Saulo</t>
        </is>
      </c>
    </row>
    <row r="26">
      <c r="A26" s="51" t="n">
        <v>46263</v>
      </c>
      <c r="B26" s="52" t="n">
        <v>8</v>
      </c>
      <c r="C26" s="52" t="n">
        <v>5</v>
      </c>
      <c r="D26" s="53" t="n">
        <v>1114</v>
      </c>
      <c r="E26" s="53" t="n">
        <v>76.40000000000001</v>
      </c>
      <c r="F26" s="53" t="n">
        <v>14.58</v>
      </c>
      <c r="G26" s="52" t="n">
        <v>984</v>
      </c>
      <c r="H26" s="53" t="n">
        <v>1.13</v>
      </c>
      <c r="I26" s="53" t="n">
        <v>961</v>
      </c>
      <c r="J26" s="53" t="n">
        <v>153</v>
      </c>
      <c r="K26" s="53" t="n">
        <v>10</v>
      </c>
      <c r="L26" s="53" t="n">
        <v>1047</v>
      </c>
      <c r="M26" s="53" t="n">
        <v>0.9399999999999999</v>
      </c>
      <c r="N26" s="52" t="n">
        <v>33</v>
      </c>
      <c r="O26" s="52" t="n">
        <v>0</v>
      </c>
      <c r="P26" s="52" t="inlineStr">
        <is>
          <t>CB-01, CB-11, CB-17, CB-22, MG-01, PC-01, PC-02, RD-01</t>
        </is>
      </c>
      <c r="Q26" s="52" t="inlineStr">
        <is>
          <t>Antônio, Carlos, José, Marcos, Saulo</t>
        </is>
      </c>
    </row>
    <row r="27">
      <c r="A27" s="51" t="n">
        <v>46265</v>
      </c>
      <c r="B27" s="52" t="n">
        <v>7</v>
      </c>
      <c r="C27" s="52" t="n">
        <v>4</v>
      </c>
      <c r="D27" s="53" t="n">
        <v>850</v>
      </c>
      <c r="E27" s="53" t="n">
        <v>61.4</v>
      </c>
      <c r="F27" s="53" t="n">
        <v>13.84</v>
      </c>
      <c r="G27" s="52" t="n">
        <v>660</v>
      </c>
      <c r="H27" s="53" t="n">
        <v>1.29</v>
      </c>
      <c r="I27" s="53" t="n">
        <v>759</v>
      </c>
      <c r="J27" s="53" t="n">
        <v>91</v>
      </c>
      <c r="K27" s="53" t="n">
        <v>3</v>
      </c>
      <c r="L27" s="53" t="n">
        <v>675</v>
      </c>
      <c r="M27" s="53" t="n">
        <v>0.79</v>
      </c>
      <c r="N27" s="52" t="n">
        <v>22</v>
      </c>
      <c r="O27" s="52" t="n">
        <v>1</v>
      </c>
      <c r="P27" s="52" t="inlineStr">
        <is>
          <t>CB-01, CB-11, CB-17, MG-01, PC-01, PC-02, RD-01</t>
        </is>
      </c>
      <c r="Q27" s="52" t="inlineStr">
        <is>
          <t>Antônio, José, Marcos, Saulo</t>
        </is>
      </c>
    </row>
    <row r="28">
      <c r="A28" s="51" t="n">
        <v>46266</v>
      </c>
      <c r="B28" s="52" t="n">
        <v>8</v>
      </c>
      <c r="C28" s="52" t="n">
        <v>5</v>
      </c>
      <c r="D28" s="53" t="n">
        <v>1212</v>
      </c>
      <c r="E28" s="53" t="n">
        <v>73.5</v>
      </c>
      <c r="F28" s="53" t="n">
        <v>16.49</v>
      </c>
      <c r="G28" s="52" t="n">
        <v>1104</v>
      </c>
      <c r="H28" s="53" t="n">
        <v>1.1</v>
      </c>
      <c r="I28" s="53" t="n">
        <v>1100</v>
      </c>
      <c r="J28" s="53" t="n">
        <v>112</v>
      </c>
      <c r="K28" s="53" t="n">
        <v>12</v>
      </c>
      <c r="L28" s="53" t="n">
        <v>1217</v>
      </c>
      <c r="M28" s="53" t="n">
        <v>1</v>
      </c>
      <c r="N28" s="52" t="n">
        <v>38</v>
      </c>
      <c r="O28" s="52" t="n">
        <v>0</v>
      </c>
      <c r="P28" s="52" t="inlineStr">
        <is>
          <t>CB-01, CB-11, CB-17, CB-22, MG-01, PC-01, PC-02, RD-01</t>
        </is>
      </c>
      <c r="Q28" s="52" t="inlineStr">
        <is>
          <t>Antônio, Carlos, José, Marcos, Saulo</t>
        </is>
      </c>
    </row>
    <row r="29">
      <c r="A29" s="51" t="n">
        <v>46267</v>
      </c>
      <c r="B29" s="52" t="n">
        <v>8</v>
      </c>
      <c r="C29" s="52" t="n">
        <v>5</v>
      </c>
      <c r="D29" s="53" t="n">
        <v>1049</v>
      </c>
      <c r="E29" s="53" t="n">
        <v>71.09999999999999</v>
      </c>
      <c r="F29" s="53" t="n">
        <v>14.75</v>
      </c>
      <c r="G29" s="52" t="n">
        <v>904</v>
      </c>
      <c r="H29" s="53" t="n">
        <v>1.16</v>
      </c>
      <c r="I29" s="53" t="n">
        <v>881</v>
      </c>
      <c r="J29" s="53" t="n">
        <v>168</v>
      </c>
      <c r="K29" s="53" t="n">
        <v>9</v>
      </c>
      <c r="L29" s="53" t="n">
        <v>939</v>
      </c>
      <c r="M29" s="53" t="n">
        <v>0.9</v>
      </c>
      <c r="N29" s="52" t="n">
        <v>29</v>
      </c>
      <c r="O29" s="52" t="n">
        <v>0</v>
      </c>
      <c r="P29" s="52" t="inlineStr">
        <is>
          <t>CB-01, CB-11, CB-17, CB-22, MG-01, PC-01, PC-02, RD-01</t>
        </is>
      </c>
      <c r="Q29" s="52" t="inlineStr">
        <is>
          <t>Antônio, Carlos, José, Marcos, Saulo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/>
  </sheetPr>
  <dimension ref="A1:J2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9" customWidth="1" min="5" max="5"/>
    <col width="12" customWidth="1" min="6" max="6"/>
    <col width="9" customWidth="1" min="7" max="7"/>
    <col width="10" customWidth="1" min="8" max="8"/>
    <col width="12" customWidth="1" min="9" max="9"/>
    <col width="10" customWidth="1" min="10" max="10"/>
  </cols>
  <sheetData>
    <row r="1">
      <c r="A1" s="50" t="inlineStr">
        <is>
          <t>Resumo por Equipamento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Data</t>
        </is>
      </c>
      <c r="B3" s="30" t="inlineStr">
        <is>
          <t>Equipamento</t>
        </is>
      </c>
      <c r="C3" s="30" t="inlineStr">
        <is>
          <t>Consumo (L)</t>
        </is>
      </c>
      <c r="D3" s="30" t="inlineStr">
        <is>
          <t>Horas</t>
        </is>
      </c>
      <c r="E3" s="30" t="inlineStr">
        <is>
          <t>L/h</t>
        </is>
      </c>
      <c r="F3" s="30" t="inlineStr">
        <is>
          <t>Produção (t)</t>
        </is>
      </c>
      <c r="G3" s="30" t="inlineStr">
        <is>
          <t>L/Ton</t>
        </is>
      </c>
      <c r="H3" s="30" t="inlineStr">
        <is>
          <t>KM</t>
        </is>
      </c>
      <c r="I3" s="30" t="inlineStr">
        <is>
          <t>Média km/L</t>
        </is>
      </c>
      <c r="J3" s="30" t="inlineStr">
        <is>
          <t>Viagens</t>
        </is>
      </c>
    </row>
    <row r="4">
      <c r="A4" s="51" t="n">
        <v>46238</v>
      </c>
      <c r="B4" s="52" t="inlineStr">
        <is>
          <t>CB-01</t>
        </is>
      </c>
      <c r="C4" s="53" t="n">
        <v>103</v>
      </c>
      <c r="D4" s="53" t="n">
        <v>8.5</v>
      </c>
      <c r="E4" s="53" t="n">
        <v>12.12</v>
      </c>
      <c r="F4" s="52" t="n">
        <v>210</v>
      </c>
      <c r="G4" s="53" t="n">
        <v>0.49</v>
      </c>
      <c r="H4" s="53" t="n">
        <v>207</v>
      </c>
      <c r="I4" s="53" t="n">
        <v>2.01</v>
      </c>
      <c r="J4" s="52" t="n">
        <v>7</v>
      </c>
    </row>
    <row r="5">
      <c r="A5" s="51" t="n">
        <v>46238</v>
      </c>
      <c r="B5" s="52" t="inlineStr">
        <is>
          <t>CB-11</t>
        </is>
      </c>
      <c r="C5" s="53" t="n">
        <v>145</v>
      </c>
      <c r="D5" s="53" t="n">
        <v>9.1</v>
      </c>
      <c r="E5" s="53" t="n">
        <v>15.93</v>
      </c>
      <c r="F5" s="52" t="n">
        <v>320</v>
      </c>
      <c r="G5" s="53" t="n">
        <v>0.45</v>
      </c>
      <c r="H5" s="53" t="n">
        <v>305</v>
      </c>
      <c r="I5" s="53" t="n">
        <v>2.1</v>
      </c>
      <c r="J5" s="52" t="n">
        <v>10</v>
      </c>
    </row>
    <row r="6">
      <c r="A6" s="51" t="n">
        <v>46238</v>
      </c>
      <c r="B6" s="52" t="inlineStr">
        <is>
          <t>CB-17</t>
        </is>
      </c>
      <c r="C6" s="53" t="n">
        <v>150</v>
      </c>
      <c r="D6" s="53" t="n">
        <v>7.6</v>
      </c>
      <c r="E6" s="53" t="n">
        <v>19.74</v>
      </c>
      <c r="F6" s="52" t="n">
        <v>330</v>
      </c>
      <c r="G6" s="53" t="n">
        <v>0.45</v>
      </c>
      <c r="H6" s="53" t="n">
        <v>302</v>
      </c>
      <c r="I6" s="53" t="n">
        <v>2.01</v>
      </c>
      <c r="J6" s="52" t="n">
        <v>11</v>
      </c>
    </row>
    <row r="7">
      <c r="A7" s="51" t="n">
        <v>46238</v>
      </c>
      <c r="B7" s="52" t="inlineStr">
        <is>
          <t>CB-22</t>
        </is>
      </c>
      <c r="C7" s="53" t="n">
        <v>137</v>
      </c>
      <c r="D7" s="53" t="n">
        <v>8.800000000000001</v>
      </c>
      <c r="E7" s="53" t="n">
        <v>15.57</v>
      </c>
      <c r="F7" s="52" t="n">
        <v>168</v>
      </c>
      <c r="G7" s="53" t="n">
        <v>0.82</v>
      </c>
      <c r="H7" s="53" t="n">
        <v>207</v>
      </c>
      <c r="I7" s="53" t="n">
        <v>1.51</v>
      </c>
      <c r="J7" s="52" t="n">
        <v>6</v>
      </c>
    </row>
    <row r="8">
      <c r="A8" s="51" t="n">
        <v>46238</v>
      </c>
      <c r="B8" s="52" t="inlineStr">
        <is>
          <t>MG-01</t>
        </is>
      </c>
      <c r="C8" s="53" t="n">
        <v>106</v>
      </c>
      <c r="D8" s="53" t="n">
        <v>8.800000000000001</v>
      </c>
      <c r="E8" s="53" t="n">
        <v>12.05</v>
      </c>
      <c r="F8" s="52" t="n">
        <v>0</v>
      </c>
      <c r="G8" s="52" t="n">
        <v>0</v>
      </c>
      <c r="H8" s="52" t="n">
        <v>0</v>
      </c>
      <c r="I8" s="53" t="n">
        <v>0</v>
      </c>
      <c r="J8" s="52" t="n">
        <v>0</v>
      </c>
    </row>
    <row r="9">
      <c r="A9" s="51" t="n">
        <v>46238</v>
      </c>
      <c r="B9" s="52" t="inlineStr">
        <is>
          <t>PC-01</t>
        </is>
      </c>
      <c r="C9" s="53" t="n">
        <v>148</v>
      </c>
      <c r="D9" s="53" t="n">
        <v>7.7</v>
      </c>
      <c r="E9" s="53" t="n">
        <v>19.22</v>
      </c>
      <c r="F9" s="52" t="n">
        <v>0</v>
      </c>
      <c r="G9" s="52" t="n">
        <v>0</v>
      </c>
      <c r="H9" s="52" t="n">
        <v>0</v>
      </c>
      <c r="I9" s="53" t="n">
        <v>0</v>
      </c>
      <c r="J9" s="52" t="n">
        <v>0</v>
      </c>
    </row>
    <row r="10">
      <c r="A10" s="51" t="n">
        <v>46238</v>
      </c>
      <c r="B10" s="52" t="inlineStr">
        <is>
          <t>PC-02</t>
        </is>
      </c>
      <c r="C10" s="53" t="n">
        <v>139</v>
      </c>
      <c r="D10" s="53" t="n">
        <v>7.6</v>
      </c>
      <c r="E10" s="53" t="n">
        <v>18.29</v>
      </c>
      <c r="F10" s="52" t="n">
        <v>0</v>
      </c>
      <c r="G10" s="52" t="n">
        <v>0</v>
      </c>
      <c r="H10" s="52" t="n">
        <v>0</v>
      </c>
      <c r="I10" s="53" t="n">
        <v>0</v>
      </c>
      <c r="J10" s="52" t="n">
        <v>0</v>
      </c>
    </row>
    <row r="11">
      <c r="A11" s="51" t="n">
        <v>46238</v>
      </c>
      <c r="B11" s="52" t="inlineStr">
        <is>
          <t>RD-01</t>
        </is>
      </c>
      <c r="C11" s="53" t="n">
        <v>105</v>
      </c>
      <c r="D11" s="53" t="n">
        <v>9.199999999999999</v>
      </c>
      <c r="E11" s="53" t="n">
        <v>11.41</v>
      </c>
      <c r="F11" s="52" t="n">
        <v>0</v>
      </c>
      <c r="G11" s="52" t="n">
        <v>0</v>
      </c>
      <c r="H11" s="52" t="n">
        <v>0</v>
      </c>
      <c r="I11" s="53" t="n">
        <v>0</v>
      </c>
      <c r="J11" s="52" t="n">
        <v>0</v>
      </c>
    </row>
    <row r="12">
      <c r="A12" s="51" t="n">
        <v>46239</v>
      </c>
      <c r="B12" s="52" t="inlineStr">
        <is>
          <t>CB-01</t>
        </is>
      </c>
      <c r="C12" s="53" t="n">
        <v>95</v>
      </c>
      <c r="D12" s="53" t="n">
        <v>9.199999999999999</v>
      </c>
      <c r="E12" s="53" t="n">
        <v>10.33</v>
      </c>
      <c r="F12" s="52" t="n">
        <v>196</v>
      </c>
      <c r="G12" s="53" t="n">
        <v>0.48</v>
      </c>
      <c r="H12" s="53" t="n">
        <v>202</v>
      </c>
      <c r="I12" s="53" t="n">
        <v>2.13</v>
      </c>
      <c r="J12" s="52" t="n">
        <v>7</v>
      </c>
    </row>
    <row r="13">
      <c r="A13" s="51" t="n">
        <v>46239</v>
      </c>
      <c r="B13" s="52" t="inlineStr">
        <is>
          <t>CB-11</t>
        </is>
      </c>
      <c r="C13" s="53" t="n">
        <v>87</v>
      </c>
      <c r="D13" s="53" t="n">
        <v>8.6</v>
      </c>
      <c r="E13" s="53" t="n">
        <v>10.12</v>
      </c>
      <c r="F13" s="52" t="n">
        <v>192</v>
      </c>
      <c r="G13" s="53" t="n">
        <v>0.45</v>
      </c>
      <c r="H13" s="53" t="n">
        <v>177</v>
      </c>
      <c r="I13" s="53" t="n">
        <v>2.03</v>
      </c>
      <c r="J13" s="52" t="n">
        <v>6</v>
      </c>
    </row>
    <row r="14">
      <c r="A14" s="51" t="n">
        <v>46239</v>
      </c>
      <c r="B14" s="52" t="inlineStr">
        <is>
          <t>CB-17</t>
        </is>
      </c>
      <c r="C14" s="53" t="n">
        <v>158</v>
      </c>
      <c r="D14" s="53" t="n">
        <v>9.5</v>
      </c>
      <c r="E14" s="53" t="n">
        <v>16.63</v>
      </c>
      <c r="F14" s="52" t="n">
        <v>330</v>
      </c>
      <c r="G14" s="53" t="n">
        <v>0.48</v>
      </c>
      <c r="H14" s="53" t="n">
        <v>346</v>
      </c>
      <c r="I14" s="53" t="n">
        <v>2.19</v>
      </c>
      <c r="J14" s="52" t="n">
        <v>11</v>
      </c>
    </row>
    <row r="15">
      <c r="A15" s="51" t="n">
        <v>46239</v>
      </c>
      <c r="B15" s="52" t="inlineStr">
        <is>
          <t>CB-22</t>
        </is>
      </c>
      <c r="C15" s="53" t="n">
        <v>183</v>
      </c>
      <c r="D15" s="53" t="n">
        <v>8.6</v>
      </c>
      <c r="E15" s="53" t="n">
        <v>21.28</v>
      </c>
      <c r="F15" s="52" t="n">
        <v>224</v>
      </c>
      <c r="G15" s="53" t="n">
        <v>0.82</v>
      </c>
      <c r="H15" s="53" t="n">
        <v>267</v>
      </c>
      <c r="I15" s="53" t="n">
        <v>1.46</v>
      </c>
      <c r="J15" s="52" t="n">
        <v>8</v>
      </c>
    </row>
    <row r="16">
      <c r="A16" s="51" t="n">
        <v>46239</v>
      </c>
      <c r="B16" s="52" t="inlineStr">
        <is>
          <t>MG-01</t>
        </is>
      </c>
      <c r="C16" s="53" t="n">
        <v>94</v>
      </c>
      <c r="D16" s="53" t="n">
        <v>7.9</v>
      </c>
      <c r="E16" s="53" t="n">
        <v>11.9</v>
      </c>
      <c r="F16" s="52" t="n">
        <v>0</v>
      </c>
      <c r="G16" s="52" t="n">
        <v>0</v>
      </c>
      <c r="H16" s="52" t="n">
        <v>0</v>
      </c>
      <c r="I16" s="53" t="n">
        <v>0</v>
      </c>
      <c r="J16" s="52" t="n">
        <v>0</v>
      </c>
    </row>
    <row r="17">
      <c r="A17" s="51" t="n">
        <v>46239</v>
      </c>
      <c r="B17" s="52" t="inlineStr">
        <is>
          <t>PC-01</t>
        </is>
      </c>
      <c r="C17" s="53" t="n">
        <v>175</v>
      </c>
      <c r="D17" s="53" t="n">
        <v>9.199999999999999</v>
      </c>
      <c r="E17" s="53" t="n">
        <v>19.02</v>
      </c>
      <c r="F17" s="52" t="n">
        <v>0</v>
      </c>
      <c r="G17" s="52" t="n">
        <v>0</v>
      </c>
      <c r="H17" s="52" t="n">
        <v>0</v>
      </c>
      <c r="I17" s="53" t="n">
        <v>0</v>
      </c>
      <c r="J17" s="52" t="n">
        <v>0</v>
      </c>
    </row>
    <row r="18">
      <c r="A18" s="51" t="n">
        <v>46239</v>
      </c>
      <c r="B18" s="52" t="inlineStr">
        <is>
          <t>PC-02</t>
        </is>
      </c>
      <c r="C18" s="53" t="n">
        <v>198</v>
      </c>
      <c r="D18" s="53" t="n">
        <v>10.1</v>
      </c>
      <c r="E18" s="53" t="n">
        <v>19.6</v>
      </c>
      <c r="F18" s="52" t="n">
        <v>0</v>
      </c>
      <c r="G18" s="52" t="n">
        <v>0</v>
      </c>
      <c r="H18" s="52" t="n">
        <v>0</v>
      </c>
      <c r="I18" s="53" t="n">
        <v>0</v>
      </c>
      <c r="J18" s="52" t="n">
        <v>0</v>
      </c>
    </row>
    <row r="19">
      <c r="A19" s="51" t="n">
        <v>46239</v>
      </c>
      <c r="B19" s="52" t="inlineStr">
        <is>
          <t>RD-01</t>
        </is>
      </c>
      <c r="C19" s="53" t="n">
        <v>108</v>
      </c>
      <c r="D19" s="53" t="n">
        <v>8.4</v>
      </c>
      <c r="E19" s="53" t="n">
        <v>12.86</v>
      </c>
      <c r="F19" s="52" t="n">
        <v>0</v>
      </c>
      <c r="G19" s="52" t="n">
        <v>0</v>
      </c>
      <c r="H19" s="52" t="n">
        <v>0</v>
      </c>
      <c r="I19" s="53" t="n">
        <v>0</v>
      </c>
      <c r="J19" s="52" t="n">
        <v>0</v>
      </c>
    </row>
    <row r="20">
      <c r="A20" s="51" t="n">
        <v>46240</v>
      </c>
      <c r="B20" s="52" t="inlineStr">
        <is>
          <t>CB-01</t>
        </is>
      </c>
      <c r="C20" s="53" t="n">
        <v>100</v>
      </c>
      <c r="D20" s="53" t="n">
        <v>9.800000000000001</v>
      </c>
      <c r="E20" s="53" t="n">
        <v>10.2</v>
      </c>
      <c r="F20" s="52" t="n">
        <v>210</v>
      </c>
      <c r="G20" s="53" t="n">
        <v>0.48</v>
      </c>
      <c r="H20" s="53" t="n">
        <v>220</v>
      </c>
      <c r="I20" s="53" t="n">
        <v>2.2</v>
      </c>
      <c r="J20" s="52" t="n">
        <v>7</v>
      </c>
    </row>
    <row r="21">
      <c r="A21" s="51" t="n">
        <v>46240</v>
      </c>
      <c r="B21" s="52" t="inlineStr">
        <is>
          <t>CB-11</t>
        </is>
      </c>
      <c r="C21" s="53" t="n">
        <v>147</v>
      </c>
      <c r="D21" s="53" t="n">
        <v>7.7</v>
      </c>
      <c r="E21" s="53" t="n">
        <v>19.09</v>
      </c>
      <c r="F21" s="52" t="n">
        <v>300</v>
      </c>
      <c r="G21" s="53" t="n">
        <v>0.49</v>
      </c>
      <c r="H21" s="53" t="n">
        <v>312</v>
      </c>
      <c r="I21" s="53" t="n">
        <v>2.12</v>
      </c>
      <c r="J21" s="52" t="n">
        <v>10</v>
      </c>
    </row>
    <row r="22">
      <c r="A22" s="51" t="n">
        <v>46240</v>
      </c>
      <c r="B22" s="52" t="inlineStr">
        <is>
          <t>CB-17</t>
        </is>
      </c>
      <c r="C22" s="53" t="n">
        <v>168</v>
      </c>
      <c r="D22" s="53" t="n">
        <v>9.199999999999999</v>
      </c>
      <c r="E22" s="53" t="n">
        <v>18.26</v>
      </c>
      <c r="F22" s="52" t="n">
        <v>336</v>
      </c>
      <c r="G22" s="53" t="n">
        <v>0.5</v>
      </c>
      <c r="H22" s="53" t="n">
        <v>368</v>
      </c>
      <c r="I22" s="53" t="n">
        <v>2.19</v>
      </c>
      <c r="J22" s="52" t="n">
        <v>12</v>
      </c>
    </row>
    <row r="23">
      <c r="A23" s="51" t="n">
        <v>46240</v>
      </c>
      <c r="B23" s="52" t="inlineStr">
        <is>
          <t>CB-22</t>
        </is>
      </c>
      <c r="C23" s="53" t="n">
        <v>138</v>
      </c>
      <c r="D23" s="53" t="n">
        <v>8.9</v>
      </c>
      <c r="E23" s="53" t="n">
        <v>15.51</v>
      </c>
      <c r="F23" s="52" t="n">
        <v>168</v>
      </c>
      <c r="G23" s="53" t="n">
        <v>0.82</v>
      </c>
      <c r="H23" s="53" t="n">
        <v>203</v>
      </c>
      <c r="I23" s="53" t="n">
        <v>1.47</v>
      </c>
      <c r="J23" s="52" t="n">
        <v>6</v>
      </c>
    </row>
    <row r="24">
      <c r="A24" s="51" t="n">
        <v>46240</v>
      </c>
      <c r="B24" s="52" t="inlineStr">
        <is>
          <t>MG-01</t>
        </is>
      </c>
      <c r="C24" s="53" t="n">
        <v>121</v>
      </c>
      <c r="D24" s="53" t="n">
        <v>10.3</v>
      </c>
      <c r="E24" s="53" t="n">
        <v>11.75</v>
      </c>
      <c r="F24" s="52" t="n">
        <v>0</v>
      </c>
      <c r="G24" s="52" t="n">
        <v>0</v>
      </c>
      <c r="H24" s="52" t="n">
        <v>0</v>
      </c>
      <c r="I24" s="53" t="n">
        <v>0</v>
      </c>
      <c r="J24" s="52" t="n">
        <v>0</v>
      </c>
    </row>
    <row r="25">
      <c r="A25" s="51" t="n">
        <v>46240</v>
      </c>
      <c r="B25" s="52" t="inlineStr">
        <is>
          <t>PC-01</t>
        </is>
      </c>
      <c r="C25" s="53" t="n">
        <v>179</v>
      </c>
      <c r="D25" s="53" t="n">
        <v>9.199999999999999</v>
      </c>
      <c r="E25" s="53" t="n">
        <v>19.46</v>
      </c>
      <c r="F25" s="52" t="n">
        <v>0</v>
      </c>
      <c r="G25" s="52" t="n">
        <v>0</v>
      </c>
      <c r="H25" s="52" t="n">
        <v>0</v>
      </c>
      <c r="I25" s="53" t="n">
        <v>0</v>
      </c>
      <c r="J25" s="52" t="n">
        <v>0</v>
      </c>
    </row>
    <row r="26">
      <c r="A26" s="51" t="n">
        <v>46240</v>
      </c>
      <c r="B26" s="52" t="inlineStr">
        <is>
          <t>PC-02</t>
        </is>
      </c>
      <c r="C26" s="53" t="n">
        <v>172</v>
      </c>
      <c r="D26" s="53" t="n">
        <v>8.800000000000001</v>
      </c>
      <c r="E26" s="53" t="n">
        <v>19.55</v>
      </c>
      <c r="F26" s="52" t="n">
        <v>0</v>
      </c>
      <c r="G26" s="52" t="n">
        <v>0</v>
      </c>
      <c r="H26" s="52" t="n">
        <v>0</v>
      </c>
      <c r="I26" s="53" t="n">
        <v>0</v>
      </c>
      <c r="J26" s="52" t="n">
        <v>0</v>
      </c>
    </row>
    <row r="27">
      <c r="A27" s="51" t="n">
        <v>46240</v>
      </c>
      <c r="B27" s="52" t="inlineStr">
        <is>
          <t>RD-01</t>
        </is>
      </c>
      <c r="C27" s="53" t="n">
        <v>120</v>
      </c>
      <c r="D27" s="53" t="n">
        <v>10.2</v>
      </c>
      <c r="E27" s="53" t="n">
        <v>11.76</v>
      </c>
      <c r="F27" s="52" t="n">
        <v>0</v>
      </c>
      <c r="G27" s="52" t="n">
        <v>0</v>
      </c>
      <c r="H27" s="52" t="n">
        <v>0</v>
      </c>
      <c r="I27" s="53" t="n">
        <v>0</v>
      </c>
      <c r="J27" s="52" t="n">
        <v>0</v>
      </c>
    </row>
    <row r="28">
      <c r="A28" s="51" t="n">
        <v>46241</v>
      </c>
      <c r="B28" s="52" t="inlineStr">
        <is>
          <t>CB-01</t>
        </is>
      </c>
      <c r="C28" s="53" t="n">
        <v>156</v>
      </c>
      <c r="D28" s="53" t="n">
        <v>9.300000000000001</v>
      </c>
      <c r="E28" s="53" t="n">
        <v>16.77</v>
      </c>
      <c r="F28" s="52" t="n">
        <v>336</v>
      </c>
      <c r="G28" s="53" t="n">
        <v>0.46</v>
      </c>
      <c r="H28" s="53" t="n">
        <v>321</v>
      </c>
      <c r="I28" s="53" t="n">
        <v>2.06</v>
      </c>
      <c r="J28" s="52" t="n">
        <v>12</v>
      </c>
    </row>
    <row r="29">
      <c r="A29" s="51" t="n">
        <v>46241</v>
      </c>
      <c r="B29" s="52" t="inlineStr">
        <is>
          <t>CB-11</t>
        </is>
      </c>
      <c r="C29" s="53" t="n">
        <v>166</v>
      </c>
      <c r="D29" s="53" t="n">
        <v>9.699999999999999</v>
      </c>
      <c r="E29" s="53" t="n">
        <v>17.11</v>
      </c>
      <c r="F29" s="52" t="n">
        <v>330</v>
      </c>
      <c r="G29" s="53" t="n">
        <v>0.5</v>
      </c>
      <c r="H29" s="53" t="n">
        <v>348</v>
      </c>
      <c r="I29" s="53" t="n">
        <v>2.1</v>
      </c>
      <c r="J29" s="52" t="n">
        <v>11</v>
      </c>
    </row>
    <row r="30">
      <c r="A30" s="51" t="n">
        <v>46241</v>
      </c>
      <c r="B30" s="52" t="inlineStr">
        <is>
          <t>CB-17</t>
        </is>
      </c>
      <c r="C30" s="53" t="n">
        <v>164</v>
      </c>
      <c r="D30" s="53" t="n">
        <v>8</v>
      </c>
      <c r="E30" s="53" t="n">
        <v>20.5</v>
      </c>
      <c r="F30" s="52" t="n">
        <v>352</v>
      </c>
      <c r="G30" s="53" t="n">
        <v>0.47</v>
      </c>
      <c r="H30" s="53" t="n">
        <v>332</v>
      </c>
      <c r="I30" s="53" t="n">
        <v>2.02</v>
      </c>
      <c r="J30" s="52" t="n">
        <v>11</v>
      </c>
    </row>
    <row r="31">
      <c r="A31" s="51" t="n">
        <v>46241</v>
      </c>
      <c r="B31" s="52" t="inlineStr">
        <is>
          <t>CB-22</t>
        </is>
      </c>
      <c r="C31" s="53" t="n">
        <v>228</v>
      </c>
      <c r="D31" s="53" t="n">
        <v>8.800000000000001</v>
      </c>
      <c r="E31" s="53" t="n">
        <v>25.91</v>
      </c>
      <c r="F31" s="52" t="n">
        <v>288</v>
      </c>
      <c r="G31" s="53" t="n">
        <v>0.79</v>
      </c>
      <c r="H31" s="53" t="n">
        <v>337</v>
      </c>
      <c r="I31" s="53" t="n">
        <v>1.48</v>
      </c>
      <c r="J31" s="52" t="n">
        <v>9</v>
      </c>
    </row>
    <row r="32">
      <c r="A32" s="51" t="n">
        <v>46241</v>
      </c>
      <c r="B32" s="52" t="inlineStr">
        <is>
          <t>MG-01</t>
        </is>
      </c>
      <c r="C32" s="53" t="n">
        <v>109</v>
      </c>
      <c r="D32" s="53" t="n">
        <v>9</v>
      </c>
      <c r="E32" s="53" t="n">
        <v>12.11</v>
      </c>
      <c r="F32" s="52" t="n">
        <v>0</v>
      </c>
      <c r="G32" s="52" t="n">
        <v>0</v>
      </c>
      <c r="H32" s="52" t="n">
        <v>0</v>
      </c>
      <c r="I32" s="53" t="n">
        <v>0</v>
      </c>
      <c r="J32" s="52" t="n">
        <v>0</v>
      </c>
    </row>
    <row r="33">
      <c r="A33" s="51" t="n">
        <v>46241</v>
      </c>
      <c r="B33" s="52" t="inlineStr">
        <is>
          <t>PC-01</t>
        </is>
      </c>
      <c r="C33" s="53" t="n">
        <v>206</v>
      </c>
      <c r="D33" s="53" t="n">
        <v>10.2</v>
      </c>
      <c r="E33" s="53" t="n">
        <v>20.2</v>
      </c>
      <c r="F33" s="52" t="n">
        <v>0</v>
      </c>
      <c r="G33" s="52" t="n">
        <v>0</v>
      </c>
      <c r="H33" s="52" t="n">
        <v>0</v>
      </c>
      <c r="I33" s="53" t="n">
        <v>0</v>
      </c>
      <c r="J33" s="52" t="n">
        <v>0</v>
      </c>
    </row>
    <row r="34">
      <c r="A34" s="51" t="n">
        <v>46241</v>
      </c>
      <c r="B34" s="52" t="inlineStr">
        <is>
          <t>PC-02</t>
        </is>
      </c>
      <c r="C34" s="53" t="n">
        <v>145</v>
      </c>
      <c r="D34" s="53" t="n">
        <v>8</v>
      </c>
      <c r="E34" s="53" t="n">
        <v>18.12</v>
      </c>
      <c r="F34" s="52" t="n">
        <v>0</v>
      </c>
      <c r="G34" s="52" t="n">
        <v>0</v>
      </c>
      <c r="H34" s="52" t="n">
        <v>0</v>
      </c>
      <c r="I34" s="53" t="n">
        <v>0</v>
      </c>
      <c r="J34" s="52" t="n">
        <v>0</v>
      </c>
    </row>
    <row r="35">
      <c r="A35" s="51" t="n">
        <v>46241</v>
      </c>
      <c r="B35" s="52" t="inlineStr">
        <is>
          <t>RD-01</t>
        </is>
      </c>
      <c r="C35" s="53" t="n">
        <v>95</v>
      </c>
      <c r="D35" s="53" t="n">
        <v>8.199999999999999</v>
      </c>
      <c r="E35" s="53" t="n">
        <v>11.59</v>
      </c>
      <c r="F35" s="52" t="n">
        <v>0</v>
      </c>
      <c r="G35" s="52" t="n">
        <v>0</v>
      </c>
      <c r="H35" s="52" t="n">
        <v>0</v>
      </c>
      <c r="I35" s="53" t="n">
        <v>0</v>
      </c>
      <c r="J35" s="52" t="n">
        <v>0</v>
      </c>
    </row>
    <row r="36">
      <c r="A36" s="51" t="n">
        <v>46242</v>
      </c>
      <c r="B36" s="52" t="inlineStr">
        <is>
          <t>CB-01</t>
        </is>
      </c>
      <c r="C36" s="53" t="n">
        <v>67</v>
      </c>
      <c r="D36" s="53" t="n">
        <v>8.300000000000001</v>
      </c>
      <c r="E36" s="53" t="n">
        <v>8.07</v>
      </c>
      <c r="F36" s="52" t="n">
        <v>140</v>
      </c>
      <c r="G36" s="53" t="n">
        <v>0.48</v>
      </c>
      <c r="H36" s="53" t="n">
        <v>139</v>
      </c>
      <c r="I36" s="53" t="n">
        <v>2.07</v>
      </c>
      <c r="J36" s="52" t="n">
        <v>5</v>
      </c>
    </row>
    <row r="37">
      <c r="A37" s="51" t="n">
        <v>46242</v>
      </c>
      <c r="B37" s="52" t="inlineStr">
        <is>
          <t>CB-11</t>
        </is>
      </c>
      <c r="C37" s="53" t="n">
        <v>112</v>
      </c>
      <c r="D37" s="53" t="n">
        <v>9.199999999999999</v>
      </c>
      <c r="E37" s="53" t="n">
        <v>12.17</v>
      </c>
      <c r="F37" s="52" t="n">
        <v>224</v>
      </c>
      <c r="G37" s="53" t="n">
        <v>0.5</v>
      </c>
      <c r="H37" s="53" t="n">
        <v>246</v>
      </c>
      <c r="I37" s="53" t="n">
        <v>2.2</v>
      </c>
      <c r="J37" s="52" t="n">
        <v>7</v>
      </c>
    </row>
    <row r="38">
      <c r="A38" s="51" t="n">
        <v>46242</v>
      </c>
      <c r="B38" s="52" t="inlineStr">
        <is>
          <t>CB-17</t>
        </is>
      </c>
      <c r="C38" s="53" t="n">
        <v>75</v>
      </c>
      <c r="D38" s="53" t="n">
        <v>9.5</v>
      </c>
      <c r="E38" s="53" t="n">
        <v>7.89</v>
      </c>
      <c r="F38" s="52" t="n">
        <v>150</v>
      </c>
      <c r="G38" s="53" t="n">
        <v>0.5</v>
      </c>
      <c r="H38" s="53" t="n">
        <v>162</v>
      </c>
      <c r="I38" s="53" t="n">
        <v>2.16</v>
      </c>
      <c r="J38" s="52" t="n">
        <v>5</v>
      </c>
    </row>
    <row r="39">
      <c r="A39" s="51" t="n">
        <v>46242</v>
      </c>
      <c r="B39" s="52" t="inlineStr">
        <is>
          <t>CB-22</t>
        </is>
      </c>
      <c r="C39" s="53" t="n">
        <v>261</v>
      </c>
      <c r="D39" s="53" t="n">
        <v>10.1</v>
      </c>
      <c r="E39" s="53" t="n">
        <v>25.84</v>
      </c>
      <c r="F39" s="52" t="n">
        <v>330</v>
      </c>
      <c r="G39" s="53" t="n">
        <v>0.79</v>
      </c>
      <c r="H39" s="53" t="n">
        <v>376</v>
      </c>
      <c r="I39" s="53" t="n">
        <v>1.44</v>
      </c>
      <c r="J39" s="52" t="n">
        <v>11</v>
      </c>
    </row>
    <row r="40">
      <c r="A40" s="51" t="n">
        <v>46242</v>
      </c>
      <c r="B40" s="52" t="inlineStr">
        <is>
          <t>MG-01</t>
        </is>
      </c>
      <c r="C40" s="53" t="n">
        <v>86</v>
      </c>
      <c r="D40" s="53" t="n">
        <v>7.7</v>
      </c>
      <c r="E40" s="53" t="n">
        <v>11.17</v>
      </c>
      <c r="F40" s="52" t="n">
        <v>0</v>
      </c>
      <c r="G40" s="52" t="n">
        <v>0</v>
      </c>
      <c r="H40" s="52" t="n">
        <v>0</v>
      </c>
      <c r="I40" s="53" t="n">
        <v>0</v>
      </c>
      <c r="J40" s="52" t="n">
        <v>0</v>
      </c>
    </row>
    <row r="41">
      <c r="A41" s="51" t="n">
        <v>46242</v>
      </c>
      <c r="B41" s="52" t="inlineStr">
        <is>
          <t>PC-01</t>
        </is>
      </c>
      <c r="C41" s="53" t="n">
        <v>168</v>
      </c>
      <c r="D41" s="53" t="n">
        <v>9.4</v>
      </c>
      <c r="E41" s="53" t="n">
        <v>17.87</v>
      </c>
      <c r="F41" s="52" t="n">
        <v>0</v>
      </c>
      <c r="G41" s="52" t="n">
        <v>0</v>
      </c>
      <c r="H41" s="52" t="n">
        <v>0</v>
      </c>
      <c r="I41" s="53" t="n">
        <v>0</v>
      </c>
      <c r="J41" s="52" t="n">
        <v>0</v>
      </c>
    </row>
    <row r="42">
      <c r="A42" s="51" t="n">
        <v>46242</v>
      </c>
      <c r="B42" s="52" t="inlineStr">
        <is>
          <t>PC-02</t>
        </is>
      </c>
      <c r="C42" s="53" t="n">
        <v>140</v>
      </c>
      <c r="D42" s="53" t="n">
        <v>7.7</v>
      </c>
      <c r="E42" s="53" t="n">
        <v>18.18</v>
      </c>
      <c r="F42" s="52" t="n">
        <v>0</v>
      </c>
      <c r="G42" s="52" t="n">
        <v>0</v>
      </c>
      <c r="H42" s="52" t="n">
        <v>0</v>
      </c>
      <c r="I42" s="53" t="n">
        <v>0</v>
      </c>
      <c r="J42" s="52" t="n">
        <v>0</v>
      </c>
    </row>
    <row r="43">
      <c r="A43" s="51" t="n">
        <v>46242</v>
      </c>
      <c r="B43" s="52" t="inlineStr">
        <is>
          <t>RD-01</t>
        </is>
      </c>
      <c r="C43" s="53" t="n">
        <v>94</v>
      </c>
      <c r="D43" s="53" t="n">
        <v>8</v>
      </c>
      <c r="E43" s="53" t="n">
        <v>11.75</v>
      </c>
      <c r="F43" s="52" t="n">
        <v>0</v>
      </c>
      <c r="G43" s="52" t="n">
        <v>0</v>
      </c>
      <c r="H43" s="52" t="n">
        <v>0</v>
      </c>
      <c r="I43" s="53" t="n">
        <v>0</v>
      </c>
      <c r="J43" s="52" t="n">
        <v>0</v>
      </c>
    </row>
    <row r="44">
      <c r="A44" s="51" t="n">
        <v>46244</v>
      </c>
      <c r="B44" s="52" t="inlineStr">
        <is>
          <t>CB-01</t>
        </is>
      </c>
      <c r="C44" s="53" t="n">
        <v>88</v>
      </c>
      <c r="D44" s="53" t="n">
        <v>8</v>
      </c>
      <c r="E44" s="53" t="n">
        <v>11</v>
      </c>
      <c r="F44" s="52" t="n">
        <v>180</v>
      </c>
      <c r="G44" s="53" t="n">
        <v>0.49</v>
      </c>
      <c r="H44" s="53" t="n">
        <v>177</v>
      </c>
      <c r="I44" s="53" t="n">
        <v>2.01</v>
      </c>
      <c r="J44" s="52" t="n">
        <v>6</v>
      </c>
    </row>
    <row r="45">
      <c r="A45" s="51" t="n">
        <v>46244</v>
      </c>
      <c r="B45" s="52" t="inlineStr">
        <is>
          <t>CB-11</t>
        </is>
      </c>
      <c r="C45" s="53" t="n">
        <v>150</v>
      </c>
      <c r="D45" s="53" t="n">
        <v>8.1</v>
      </c>
      <c r="E45" s="53" t="n">
        <v>18.52</v>
      </c>
      <c r="F45" s="52" t="n">
        <v>308</v>
      </c>
      <c r="G45" s="53" t="n">
        <v>0.49</v>
      </c>
      <c r="H45" s="53" t="n">
        <v>329</v>
      </c>
      <c r="I45" s="53" t="n">
        <v>2.19</v>
      </c>
      <c r="J45" s="52" t="n">
        <v>11</v>
      </c>
    </row>
    <row r="46">
      <c r="A46" s="51" t="n">
        <v>46244</v>
      </c>
      <c r="B46" s="52" t="inlineStr">
        <is>
          <t>CB-17</t>
        </is>
      </c>
      <c r="C46" s="53" t="n">
        <v>154</v>
      </c>
      <c r="D46" s="53" t="n">
        <v>9.300000000000001</v>
      </c>
      <c r="E46" s="53" t="n">
        <v>16.56</v>
      </c>
      <c r="F46" s="52" t="n">
        <v>336</v>
      </c>
      <c r="G46" s="53" t="n">
        <v>0.46</v>
      </c>
      <c r="H46" s="53" t="n">
        <v>323</v>
      </c>
      <c r="I46" s="53" t="n">
        <v>2.1</v>
      </c>
      <c r="J46" s="52" t="n">
        <v>12</v>
      </c>
    </row>
    <row r="47">
      <c r="A47" s="51" t="n">
        <v>46244</v>
      </c>
      <c r="B47" s="52" t="inlineStr">
        <is>
          <t>CB-22</t>
        </is>
      </c>
      <c r="C47" s="53" t="n">
        <v>281</v>
      </c>
      <c r="D47" s="53" t="n">
        <v>10.4</v>
      </c>
      <c r="E47" s="53" t="n">
        <v>27.02</v>
      </c>
      <c r="F47" s="52" t="n">
        <v>360</v>
      </c>
      <c r="G47" s="53" t="n">
        <v>0.78</v>
      </c>
      <c r="H47" s="53" t="n">
        <v>406</v>
      </c>
      <c r="I47" s="53" t="n">
        <v>1.44</v>
      </c>
      <c r="J47" s="52" t="n">
        <v>12</v>
      </c>
    </row>
    <row r="48">
      <c r="A48" s="51" t="n">
        <v>46244</v>
      </c>
      <c r="B48" s="52" t="inlineStr">
        <is>
          <t>MG-01</t>
        </is>
      </c>
      <c r="C48" s="53" t="n">
        <v>122</v>
      </c>
      <c r="D48" s="53" t="n">
        <v>10.4</v>
      </c>
      <c r="E48" s="53" t="n">
        <v>11.73</v>
      </c>
      <c r="F48" s="52" t="n">
        <v>0</v>
      </c>
      <c r="G48" s="52" t="n">
        <v>0</v>
      </c>
      <c r="H48" s="52" t="n">
        <v>0</v>
      </c>
      <c r="I48" s="53" t="n">
        <v>0</v>
      </c>
      <c r="J48" s="52" t="n">
        <v>0</v>
      </c>
    </row>
    <row r="49">
      <c r="A49" s="51" t="n">
        <v>46244</v>
      </c>
      <c r="B49" s="52" t="inlineStr">
        <is>
          <t>PC-01</t>
        </is>
      </c>
      <c r="C49" s="53" t="n">
        <v>191</v>
      </c>
      <c r="D49" s="53" t="n">
        <v>9.699999999999999</v>
      </c>
      <c r="E49" s="53" t="n">
        <v>19.69</v>
      </c>
      <c r="F49" s="52" t="n">
        <v>0</v>
      </c>
      <c r="G49" s="52" t="n">
        <v>0</v>
      </c>
      <c r="H49" s="52" t="n">
        <v>0</v>
      </c>
      <c r="I49" s="53" t="n">
        <v>0</v>
      </c>
      <c r="J49" s="52" t="n">
        <v>0</v>
      </c>
    </row>
    <row r="50">
      <c r="A50" s="51" t="n">
        <v>46244</v>
      </c>
      <c r="B50" s="52" t="inlineStr">
        <is>
          <t>PC-02</t>
        </is>
      </c>
      <c r="C50" s="53" t="n">
        <v>174</v>
      </c>
      <c r="D50" s="53" t="n">
        <v>8.9</v>
      </c>
      <c r="E50" s="53" t="n">
        <v>19.55</v>
      </c>
      <c r="F50" s="52" t="n">
        <v>0</v>
      </c>
      <c r="G50" s="52" t="n">
        <v>0</v>
      </c>
      <c r="H50" s="52" t="n">
        <v>0</v>
      </c>
      <c r="I50" s="53" t="n">
        <v>0</v>
      </c>
      <c r="J50" s="52" t="n">
        <v>0</v>
      </c>
    </row>
    <row r="51">
      <c r="A51" s="51" t="n">
        <v>46244</v>
      </c>
      <c r="B51" s="52" t="inlineStr">
        <is>
          <t>RD-01</t>
        </is>
      </c>
      <c r="C51" s="53" t="n">
        <v>104</v>
      </c>
      <c r="D51" s="53" t="n">
        <v>9</v>
      </c>
      <c r="E51" s="53" t="n">
        <v>11.56</v>
      </c>
      <c r="F51" s="52" t="n">
        <v>0</v>
      </c>
      <c r="G51" s="52" t="n">
        <v>0</v>
      </c>
      <c r="H51" s="52" t="n">
        <v>0</v>
      </c>
      <c r="I51" s="53" t="n">
        <v>0</v>
      </c>
      <c r="J51" s="52" t="n">
        <v>0</v>
      </c>
    </row>
    <row r="52">
      <c r="A52" s="51" t="n">
        <v>46245</v>
      </c>
      <c r="B52" s="52" t="inlineStr">
        <is>
          <t>CB-01</t>
        </is>
      </c>
      <c r="C52" s="53" t="n">
        <v>75</v>
      </c>
      <c r="D52" s="53" t="n">
        <v>9.6</v>
      </c>
      <c r="E52" s="53" t="n">
        <v>7.81</v>
      </c>
      <c r="F52" s="52" t="n">
        <v>160</v>
      </c>
      <c r="G52" s="53" t="n">
        <v>0.47</v>
      </c>
      <c r="H52" s="53" t="n">
        <v>160</v>
      </c>
      <c r="I52" s="53" t="n">
        <v>2.13</v>
      </c>
      <c r="J52" s="52" t="n">
        <v>5</v>
      </c>
    </row>
    <row r="53">
      <c r="A53" s="51" t="n">
        <v>46245</v>
      </c>
      <c r="B53" s="52" t="inlineStr">
        <is>
          <t>CB-11</t>
        </is>
      </c>
      <c r="C53" s="53" t="n">
        <v>136</v>
      </c>
      <c r="D53" s="53" t="n">
        <v>7.8</v>
      </c>
      <c r="E53" s="53" t="n">
        <v>17.44</v>
      </c>
      <c r="F53" s="52" t="n">
        <v>288</v>
      </c>
      <c r="G53" s="53" t="n">
        <v>0.47</v>
      </c>
      <c r="H53" s="53" t="n">
        <v>276</v>
      </c>
      <c r="I53" s="53" t="n">
        <v>2.03</v>
      </c>
      <c r="J53" s="52" t="n">
        <v>9</v>
      </c>
    </row>
    <row r="54">
      <c r="A54" s="51" t="n">
        <v>46245</v>
      </c>
      <c r="B54" s="52" t="inlineStr">
        <is>
          <t>CB-17</t>
        </is>
      </c>
      <c r="C54" s="53" t="n">
        <v>148</v>
      </c>
      <c r="D54" s="53" t="n">
        <v>9.800000000000001</v>
      </c>
      <c r="E54" s="53" t="n">
        <v>15.1</v>
      </c>
      <c r="F54" s="52" t="n">
        <v>320</v>
      </c>
      <c r="G54" s="53" t="n">
        <v>0.46</v>
      </c>
      <c r="H54" s="53" t="n">
        <v>320</v>
      </c>
      <c r="I54" s="53" t="n">
        <v>2.16</v>
      </c>
      <c r="J54" s="52" t="n">
        <v>10</v>
      </c>
    </row>
    <row r="55">
      <c r="A55" s="51" t="n">
        <v>46245</v>
      </c>
      <c r="B55" s="52" t="inlineStr">
        <is>
          <t>CB-22</t>
        </is>
      </c>
      <c r="C55" s="53" t="n">
        <v>186</v>
      </c>
      <c r="D55" s="53" t="n">
        <v>10.5</v>
      </c>
      <c r="E55" s="53" t="n">
        <v>17.71</v>
      </c>
      <c r="F55" s="52" t="n">
        <v>224</v>
      </c>
      <c r="G55" s="53" t="n">
        <v>0.83</v>
      </c>
      <c r="H55" s="53" t="n">
        <v>286</v>
      </c>
      <c r="I55" s="53" t="n">
        <v>1.54</v>
      </c>
      <c r="J55" s="52" t="n">
        <v>8</v>
      </c>
    </row>
    <row r="56">
      <c r="A56" s="51" t="n">
        <v>46245</v>
      </c>
      <c r="B56" s="52" t="inlineStr">
        <is>
          <t>PC-01</t>
        </is>
      </c>
      <c r="C56" s="53" t="n">
        <v>156</v>
      </c>
      <c r="D56" s="53" t="n">
        <v>8.199999999999999</v>
      </c>
      <c r="E56" s="53" t="n">
        <v>19.02</v>
      </c>
      <c r="F56" s="52" t="n">
        <v>0</v>
      </c>
      <c r="G56" s="52" t="n">
        <v>0</v>
      </c>
      <c r="H56" s="52" t="n">
        <v>0</v>
      </c>
      <c r="I56" s="53" t="n">
        <v>0</v>
      </c>
      <c r="J56" s="52" t="n">
        <v>0</v>
      </c>
    </row>
    <row r="57">
      <c r="A57" s="51" t="n">
        <v>46245</v>
      </c>
      <c r="B57" s="52" t="inlineStr">
        <is>
          <t>PC-02</t>
        </is>
      </c>
      <c r="C57" s="53" t="n">
        <v>153</v>
      </c>
      <c r="D57" s="53" t="n">
        <v>8.6</v>
      </c>
      <c r="E57" s="53" t="n">
        <v>17.79</v>
      </c>
      <c r="F57" s="52" t="n">
        <v>0</v>
      </c>
      <c r="G57" s="52" t="n">
        <v>0</v>
      </c>
      <c r="H57" s="52" t="n">
        <v>0</v>
      </c>
      <c r="I57" s="53" t="n">
        <v>0</v>
      </c>
      <c r="J57" s="52" t="n">
        <v>0</v>
      </c>
    </row>
    <row r="58">
      <c r="A58" s="51" t="n">
        <v>46245</v>
      </c>
      <c r="B58" s="52" t="inlineStr">
        <is>
          <t>RD-01</t>
        </is>
      </c>
      <c r="C58" s="53" t="n">
        <v>88</v>
      </c>
      <c r="D58" s="53" t="n">
        <v>7.6</v>
      </c>
      <c r="E58" s="53" t="n">
        <v>11.58</v>
      </c>
      <c r="F58" s="52" t="n">
        <v>0</v>
      </c>
      <c r="G58" s="52" t="n">
        <v>0</v>
      </c>
      <c r="H58" s="52" t="n">
        <v>0</v>
      </c>
      <c r="I58" s="53" t="n">
        <v>0</v>
      </c>
      <c r="J58" s="52" t="n">
        <v>0</v>
      </c>
    </row>
    <row r="59">
      <c r="A59" s="51" t="n">
        <v>46246</v>
      </c>
      <c r="B59" s="52" t="inlineStr">
        <is>
          <t>CB-01</t>
        </is>
      </c>
      <c r="C59" s="53" t="n">
        <v>149</v>
      </c>
      <c r="D59" s="53" t="n">
        <v>8.300000000000001</v>
      </c>
      <c r="E59" s="53" t="n">
        <v>17.95</v>
      </c>
      <c r="F59" s="52" t="n">
        <v>300</v>
      </c>
      <c r="G59" s="53" t="n">
        <v>0.5</v>
      </c>
      <c r="H59" s="53" t="n">
        <v>320</v>
      </c>
      <c r="I59" s="53" t="n">
        <v>2.15</v>
      </c>
      <c r="J59" s="52" t="n">
        <v>10</v>
      </c>
    </row>
    <row r="60">
      <c r="A60" s="51" t="n">
        <v>46246</v>
      </c>
      <c r="B60" s="52" t="inlineStr">
        <is>
          <t>CB-11</t>
        </is>
      </c>
      <c r="C60" s="53" t="n">
        <v>130</v>
      </c>
      <c r="D60" s="53" t="n">
        <v>8.5</v>
      </c>
      <c r="E60" s="53" t="n">
        <v>15.29</v>
      </c>
      <c r="F60" s="52" t="n">
        <v>280</v>
      </c>
      <c r="G60" s="53" t="n">
        <v>0.46</v>
      </c>
      <c r="H60" s="53" t="n">
        <v>266</v>
      </c>
      <c r="I60" s="53" t="n">
        <v>2.05</v>
      </c>
      <c r="J60" s="52" t="n">
        <v>10</v>
      </c>
    </row>
    <row r="61">
      <c r="A61" s="51" t="n">
        <v>46246</v>
      </c>
      <c r="B61" s="52" t="inlineStr">
        <is>
          <t>CB-17</t>
        </is>
      </c>
      <c r="C61" s="53" t="n">
        <v>117</v>
      </c>
      <c r="D61" s="53" t="n">
        <v>8.1</v>
      </c>
      <c r="E61" s="53" t="n">
        <v>14.44</v>
      </c>
      <c r="F61" s="52" t="n">
        <v>240</v>
      </c>
      <c r="G61" s="53" t="n">
        <v>0.49</v>
      </c>
      <c r="H61" s="53" t="n">
        <v>256</v>
      </c>
      <c r="I61" s="53" t="n">
        <v>2.19</v>
      </c>
      <c r="J61" s="52" t="n">
        <v>8</v>
      </c>
    </row>
    <row r="62">
      <c r="A62" s="51" t="n">
        <v>46246</v>
      </c>
      <c r="B62" s="52" t="inlineStr">
        <is>
          <t>CB-22</t>
        </is>
      </c>
      <c r="C62" s="53" t="n">
        <v>301</v>
      </c>
      <c r="D62" s="53" t="n">
        <v>10</v>
      </c>
      <c r="E62" s="53" t="n">
        <v>30.1</v>
      </c>
      <c r="F62" s="52" t="n">
        <v>384</v>
      </c>
      <c r="G62" s="53" t="n">
        <v>0.78</v>
      </c>
      <c r="H62" s="53" t="n">
        <v>458</v>
      </c>
      <c r="I62" s="53" t="n">
        <v>1.52</v>
      </c>
      <c r="J62" s="52" t="n">
        <v>12</v>
      </c>
    </row>
    <row r="63">
      <c r="A63" s="51" t="n">
        <v>46246</v>
      </c>
      <c r="B63" s="52" t="inlineStr">
        <is>
          <t>MG-01</t>
        </is>
      </c>
      <c r="C63" s="53" t="n">
        <v>108</v>
      </c>
      <c r="D63" s="53" t="n">
        <v>8.800000000000001</v>
      </c>
      <c r="E63" s="53" t="n">
        <v>12.27</v>
      </c>
      <c r="F63" s="52" t="n">
        <v>0</v>
      </c>
      <c r="G63" s="52" t="n">
        <v>0</v>
      </c>
      <c r="H63" s="52" t="n">
        <v>0</v>
      </c>
      <c r="I63" s="53" t="n">
        <v>0</v>
      </c>
      <c r="J63" s="52" t="n">
        <v>0</v>
      </c>
    </row>
    <row r="64">
      <c r="A64" s="51" t="n">
        <v>46246</v>
      </c>
      <c r="B64" s="52" t="inlineStr">
        <is>
          <t>PC-01</t>
        </is>
      </c>
      <c r="C64" s="53" t="n">
        <v>180</v>
      </c>
      <c r="D64" s="53" t="n">
        <v>10</v>
      </c>
      <c r="E64" s="53" t="n">
        <v>18</v>
      </c>
      <c r="F64" s="52" t="n">
        <v>0</v>
      </c>
      <c r="G64" s="52" t="n">
        <v>0</v>
      </c>
      <c r="H64" s="52" t="n">
        <v>0</v>
      </c>
      <c r="I64" s="53" t="n">
        <v>0</v>
      </c>
      <c r="J64" s="52" t="n">
        <v>0</v>
      </c>
    </row>
    <row r="65">
      <c r="A65" s="51" t="n">
        <v>46246</v>
      </c>
      <c r="B65" s="52" t="inlineStr">
        <is>
          <t>PC-02</t>
        </is>
      </c>
      <c r="C65" s="53" t="n">
        <v>170</v>
      </c>
      <c r="D65" s="53" t="n">
        <v>8.699999999999999</v>
      </c>
      <c r="E65" s="53" t="n">
        <v>19.54</v>
      </c>
      <c r="F65" s="52" t="n">
        <v>0</v>
      </c>
      <c r="G65" s="52" t="n">
        <v>0</v>
      </c>
      <c r="H65" s="52" t="n">
        <v>0</v>
      </c>
      <c r="I65" s="53" t="n">
        <v>0</v>
      </c>
      <c r="J65" s="52" t="n">
        <v>0</v>
      </c>
    </row>
    <row r="66">
      <c r="A66" s="51" t="n">
        <v>46246</v>
      </c>
      <c r="B66" s="52" t="inlineStr">
        <is>
          <t>RD-01</t>
        </is>
      </c>
      <c r="C66" s="53" t="n">
        <v>102</v>
      </c>
      <c r="D66" s="53" t="n">
        <v>8.1</v>
      </c>
      <c r="E66" s="53" t="n">
        <v>12.59</v>
      </c>
      <c r="F66" s="52" t="n">
        <v>0</v>
      </c>
      <c r="G66" s="52" t="n">
        <v>0</v>
      </c>
      <c r="H66" s="52" t="n">
        <v>0</v>
      </c>
      <c r="I66" s="53" t="n">
        <v>0</v>
      </c>
      <c r="J66" s="52" t="n">
        <v>0</v>
      </c>
    </row>
    <row r="67">
      <c r="A67" s="51" t="n">
        <v>46247</v>
      </c>
      <c r="B67" s="52" t="inlineStr">
        <is>
          <t>CB-01</t>
        </is>
      </c>
      <c r="C67" s="53" t="n">
        <v>157</v>
      </c>
      <c r="D67" s="53" t="n">
        <v>7.8</v>
      </c>
      <c r="E67" s="53" t="n">
        <v>20.13</v>
      </c>
      <c r="F67" s="52" t="n">
        <v>330</v>
      </c>
      <c r="G67" s="53" t="n">
        <v>0.48</v>
      </c>
      <c r="H67" s="53" t="n">
        <v>344</v>
      </c>
      <c r="I67" s="53" t="n">
        <v>2.19</v>
      </c>
      <c r="J67" s="52" t="n">
        <v>11</v>
      </c>
    </row>
    <row r="68">
      <c r="A68" s="51" t="n">
        <v>46247</v>
      </c>
      <c r="B68" s="52" t="inlineStr">
        <is>
          <t>CB-11</t>
        </is>
      </c>
      <c r="C68" s="53" t="n">
        <v>89</v>
      </c>
      <c r="D68" s="53" t="n">
        <v>9.699999999999999</v>
      </c>
      <c r="E68" s="53" t="n">
        <v>9.18</v>
      </c>
      <c r="F68" s="52" t="n">
        <v>196</v>
      </c>
      <c r="G68" s="53" t="n">
        <v>0.45</v>
      </c>
      <c r="H68" s="53" t="n">
        <v>189</v>
      </c>
      <c r="I68" s="53" t="n">
        <v>2.12</v>
      </c>
      <c r="J68" s="52" t="n">
        <v>7</v>
      </c>
    </row>
    <row r="69">
      <c r="A69" s="51" t="n">
        <v>46247</v>
      </c>
      <c r="B69" s="52" t="inlineStr">
        <is>
          <t>CB-17</t>
        </is>
      </c>
      <c r="C69" s="53" t="n">
        <v>112</v>
      </c>
      <c r="D69" s="53" t="n">
        <v>8.9</v>
      </c>
      <c r="E69" s="53" t="n">
        <v>12.58</v>
      </c>
      <c r="F69" s="52" t="n">
        <v>224</v>
      </c>
      <c r="G69" s="53" t="n">
        <v>0.5</v>
      </c>
      <c r="H69" s="53" t="n">
        <v>246</v>
      </c>
      <c r="I69" s="53" t="n">
        <v>2.2</v>
      </c>
      <c r="J69" s="52" t="n">
        <v>7</v>
      </c>
    </row>
    <row r="70">
      <c r="A70" s="51" t="n">
        <v>46247</v>
      </c>
      <c r="B70" s="52" t="inlineStr">
        <is>
          <t>CB-22</t>
        </is>
      </c>
      <c r="C70" s="53" t="n">
        <v>225</v>
      </c>
      <c r="D70" s="53" t="n">
        <v>9.5</v>
      </c>
      <c r="E70" s="53" t="n">
        <v>23.68</v>
      </c>
      <c r="F70" s="52" t="n">
        <v>280</v>
      </c>
      <c r="G70" s="53" t="n">
        <v>0.8</v>
      </c>
      <c r="H70" s="53" t="n">
        <v>325</v>
      </c>
      <c r="I70" s="53" t="n">
        <v>1.44</v>
      </c>
      <c r="J70" s="52" t="n">
        <v>10</v>
      </c>
    </row>
    <row r="71">
      <c r="A71" s="51" t="n">
        <v>46247</v>
      </c>
      <c r="B71" s="52" t="inlineStr">
        <is>
          <t>MG-01</t>
        </is>
      </c>
      <c r="C71" s="53" t="n">
        <v>127</v>
      </c>
      <c r="D71" s="53" t="n">
        <v>10.1</v>
      </c>
      <c r="E71" s="53" t="n">
        <v>12.57</v>
      </c>
      <c r="F71" s="52" t="n">
        <v>0</v>
      </c>
      <c r="G71" s="52" t="n">
        <v>0</v>
      </c>
      <c r="H71" s="52" t="n">
        <v>0</v>
      </c>
      <c r="I71" s="53" t="n">
        <v>0</v>
      </c>
      <c r="J71" s="52" t="n">
        <v>0</v>
      </c>
    </row>
    <row r="72">
      <c r="A72" s="51" t="n">
        <v>46247</v>
      </c>
      <c r="B72" s="52" t="inlineStr">
        <is>
          <t>PC-01</t>
        </is>
      </c>
      <c r="C72" s="53" t="n">
        <v>152</v>
      </c>
      <c r="D72" s="53" t="n">
        <v>7.5</v>
      </c>
      <c r="E72" s="53" t="n">
        <v>20.27</v>
      </c>
      <c r="F72" s="52" t="n">
        <v>0</v>
      </c>
      <c r="G72" s="52" t="n">
        <v>0</v>
      </c>
      <c r="H72" s="52" t="n">
        <v>0</v>
      </c>
      <c r="I72" s="53" t="n">
        <v>0</v>
      </c>
      <c r="J72" s="52" t="n">
        <v>0</v>
      </c>
    </row>
    <row r="73">
      <c r="A73" s="51" t="n">
        <v>46247</v>
      </c>
      <c r="B73" s="52" t="inlineStr">
        <is>
          <t>PC-02</t>
        </is>
      </c>
      <c r="C73" s="53" t="n">
        <v>179</v>
      </c>
      <c r="D73" s="53" t="n">
        <v>9.4</v>
      </c>
      <c r="E73" s="53" t="n">
        <v>19.04</v>
      </c>
      <c r="F73" s="52" t="n">
        <v>0</v>
      </c>
      <c r="G73" s="52" t="n">
        <v>0</v>
      </c>
      <c r="H73" s="52" t="n">
        <v>0</v>
      </c>
      <c r="I73" s="53" t="n">
        <v>0</v>
      </c>
      <c r="J73" s="52" t="n">
        <v>0</v>
      </c>
    </row>
    <row r="74">
      <c r="A74" s="51" t="n">
        <v>46247</v>
      </c>
      <c r="B74" s="52" t="inlineStr">
        <is>
          <t>RD-01</t>
        </is>
      </c>
      <c r="C74" s="53" t="n">
        <v>122</v>
      </c>
      <c r="D74" s="53" t="n">
        <v>10.3</v>
      </c>
      <c r="E74" s="53" t="n">
        <v>11.84</v>
      </c>
      <c r="F74" s="52" t="n">
        <v>0</v>
      </c>
      <c r="G74" s="52" t="n">
        <v>0</v>
      </c>
      <c r="H74" s="52" t="n">
        <v>0</v>
      </c>
      <c r="I74" s="53" t="n">
        <v>0</v>
      </c>
      <c r="J74" s="52" t="n">
        <v>0</v>
      </c>
    </row>
    <row r="75">
      <c r="A75" s="51" t="n">
        <v>46248</v>
      </c>
      <c r="B75" s="52" t="inlineStr">
        <is>
          <t>CB-01</t>
        </is>
      </c>
      <c r="C75" s="53" t="n">
        <v>118</v>
      </c>
      <c r="D75" s="53" t="n">
        <v>8.1</v>
      </c>
      <c r="E75" s="53" t="n">
        <v>14.57</v>
      </c>
      <c r="F75" s="52" t="n">
        <v>252</v>
      </c>
      <c r="G75" s="53" t="n">
        <v>0.47</v>
      </c>
      <c r="H75" s="53" t="n">
        <v>241</v>
      </c>
      <c r="I75" s="53" t="n">
        <v>2.04</v>
      </c>
      <c r="J75" s="52" t="n">
        <v>9</v>
      </c>
    </row>
    <row r="76">
      <c r="A76" s="51" t="n">
        <v>46248</v>
      </c>
      <c r="B76" s="52" t="inlineStr">
        <is>
          <t>CB-11</t>
        </is>
      </c>
      <c r="C76" s="53" t="n">
        <v>137</v>
      </c>
      <c r="D76" s="53" t="n">
        <v>9.300000000000001</v>
      </c>
      <c r="E76" s="53" t="n">
        <v>14.73</v>
      </c>
      <c r="F76" s="52" t="n">
        <v>288</v>
      </c>
      <c r="G76" s="53" t="n">
        <v>0.48</v>
      </c>
      <c r="H76" s="53" t="n">
        <v>277</v>
      </c>
      <c r="I76" s="53" t="n">
        <v>2.02</v>
      </c>
      <c r="J76" s="52" t="n">
        <v>9</v>
      </c>
    </row>
    <row r="77">
      <c r="A77" s="51" t="n">
        <v>46248</v>
      </c>
      <c r="B77" s="52" t="inlineStr">
        <is>
          <t>CB-17</t>
        </is>
      </c>
      <c r="C77" s="53" t="n">
        <v>147</v>
      </c>
      <c r="D77" s="53" t="n">
        <v>10.2</v>
      </c>
      <c r="E77" s="53" t="n">
        <v>14.41</v>
      </c>
      <c r="F77" s="52" t="n">
        <v>300</v>
      </c>
      <c r="G77" s="53" t="n">
        <v>0.49</v>
      </c>
      <c r="H77" s="53" t="n">
        <v>318</v>
      </c>
      <c r="I77" s="53" t="n">
        <v>2.16</v>
      </c>
      <c r="J77" s="52" t="n">
        <v>10</v>
      </c>
    </row>
    <row r="78">
      <c r="A78" s="51" t="n">
        <v>46248</v>
      </c>
      <c r="B78" s="52" t="inlineStr">
        <is>
          <t>CB-22</t>
        </is>
      </c>
      <c r="C78" s="53" t="n">
        <v>172</v>
      </c>
      <c r="D78" s="53" t="n">
        <v>9.1</v>
      </c>
      <c r="E78" s="53" t="n">
        <v>18.9</v>
      </c>
      <c r="F78" s="52" t="n">
        <v>224</v>
      </c>
      <c r="G78" s="53" t="n">
        <v>0.77</v>
      </c>
      <c r="H78" s="53" t="n">
        <v>258</v>
      </c>
      <c r="I78" s="53" t="n">
        <v>1.5</v>
      </c>
      <c r="J78" s="52" t="n">
        <v>7</v>
      </c>
    </row>
    <row r="79">
      <c r="A79" s="51" t="n">
        <v>46248</v>
      </c>
      <c r="B79" s="52" t="inlineStr">
        <is>
          <t>MG-01</t>
        </is>
      </c>
      <c r="C79" s="53" t="n">
        <v>107</v>
      </c>
      <c r="D79" s="53" t="n">
        <v>9.4</v>
      </c>
      <c r="E79" s="53" t="n">
        <v>11.38</v>
      </c>
      <c r="F79" s="52" t="n">
        <v>0</v>
      </c>
      <c r="G79" s="52" t="n">
        <v>0</v>
      </c>
      <c r="H79" s="52" t="n">
        <v>0</v>
      </c>
      <c r="I79" s="53" t="n">
        <v>0</v>
      </c>
      <c r="J79" s="52" t="n">
        <v>0</v>
      </c>
    </row>
    <row r="80">
      <c r="A80" s="51" t="n">
        <v>46248</v>
      </c>
      <c r="B80" s="52" t="inlineStr">
        <is>
          <t>PC-01</t>
        </is>
      </c>
      <c r="C80" s="53" t="n">
        <v>199</v>
      </c>
      <c r="D80" s="53" t="n">
        <v>10.1</v>
      </c>
      <c r="E80" s="53" t="n">
        <v>19.7</v>
      </c>
      <c r="F80" s="52" t="n">
        <v>0</v>
      </c>
      <c r="G80" s="52" t="n">
        <v>0</v>
      </c>
      <c r="H80" s="52" t="n">
        <v>0</v>
      </c>
      <c r="I80" s="53" t="n">
        <v>0</v>
      </c>
      <c r="J80" s="52" t="n">
        <v>0</v>
      </c>
    </row>
    <row r="81">
      <c r="A81" s="51" t="n">
        <v>46248</v>
      </c>
      <c r="B81" s="52" t="inlineStr">
        <is>
          <t>PC-02</t>
        </is>
      </c>
      <c r="C81" s="53" t="n">
        <v>184</v>
      </c>
      <c r="D81" s="53" t="n">
        <v>9.300000000000001</v>
      </c>
      <c r="E81" s="53" t="n">
        <v>19.78</v>
      </c>
      <c r="F81" s="52" t="n">
        <v>0</v>
      </c>
      <c r="G81" s="52" t="n">
        <v>0</v>
      </c>
      <c r="H81" s="52" t="n">
        <v>0</v>
      </c>
      <c r="I81" s="53" t="n">
        <v>0</v>
      </c>
      <c r="J81" s="52" t="n">
        <v>0</v>
      </c>
    </row>
    <row r="82">
      <c r="A82" s="51" t="n">
        <v>46248</v>
      </c>
      <c r="B82" s="52" t="inlineStr">
        <is>
          <t>RD-01</t>
        </is>
      </c>
      <c r="C82" s="53" t="n">
        <v>90</v>
      </c>
      <c r="D82" s="53" t="n">
        <v>7.9</v>
      </c>
      <c r="E82" s="53" t="n">
        <v>11.39</v>
      </c>
      <c r="F82" s="52" t="n">
        <v>0</v>
      </c>
      <c r="G82" s="52" t="n">
        <v>0</v>
      </c>
      <c r="H82" s="52" t="n">
        <v>0</v>
      </c>
      <c r="I82" s="53" t="n">
        <v>0</v>
      </c>
      <c r="J82" s="52" t="n">
        <v>0</v>
      </c>
    </row>
    <row r="83">
      <c r="A83" s="51" t="n">
        <v>46249</v>
      </c>
      <c r="B83" s="52" t="inlineStr">
        <is>
          <t>CB-01</t>
        </is>
      </c>
      <c r="C83" s="53" t="n">
        <v>169</v>
      </c>
      <c r="D83" s="53" t="n">
        <v>7.7</v>
      </c>
      <c r="E83" s="53" t="n">
        <v>21.95</v>
      </c>
      <c r="F83" s="52" t="n">
        <v>336</v>
      </c>
      <c r="G83" s="53" t="n">
        <v>0.5</v>
      </c>
      <c r="H83" s="53" t="n">
        <v>339</v>
      </c>
      <c r="I83" s="53" t="n">
        <v>2.01</v>
      </c>
      <c r="J83" s="52" t="n">
        <v>12</v>
      </c>
    </row>
    <row r="84">
      <c r="A84" s="51" t="n">
        <v>46249</v>
      </c>
      <c r="B84" s="52" t="inlineStr">
        <is>
          <t>CB-11</t>
        </is>
      </c>
      <c r="C84" s="53" t="n">
        <v>67</v>
      </c>
      <c r="D84" s="53" t="n">
        <v>8.1</v>
      </c>
      <c r="E84" s="53" t="n">
        <v>8.27</v>
      </c>
      <c r="F84" s="52" t="n">
        <v>140</v>
      </c>
      <c r="G84" s="53" t="n">
        <v>0.48</v>
      </c>
      <c r="H84" s="53" t="n">
        <v>142</v>
      </c>
      <c r="I84" s="53" t="n">
        <v>2.12</v>
      </c>
      <c r="J84" s="52" t="n">
        <v>5</v>
      </c>
    </row>
    <row r="85">
      <c r="A85" s="51" t="n">
        <v>46249</v>
      </c>
      <c r="B85" s="52" t="inlineStr">
        <is>
          <t>CB-17</t>
        </is>
      </c>
      <c r="C85" s="53" t="n">
        <v>85</v>
      </c>
      <c r="D85" s="53" t="n">
        <v>9.800000000000001</v>
      </c>
      <c r="E85" s="53" t="n">
        <v>8.67</v>
      </c>
      <c r="F85" s="52" t="n">
        <v>180</v>
      </c>
      <c r="G85" s="53" t="n">
        <v>0.47</v>
      </c>
      <c r="H85" s="53" t="n">
        <v>187</v>
      </c>
      <c r="I85" s="53" t="n">
        <v>2.2</v>
      </c>
      <c r="J85" s="52" t="n">
        <v>6</v>
      </c>
    </row>
    <row r="86">
      <c r="A86" s="51" t="n">
        <v>46249</v>
      </c>
      <c r="B86" s="52" t="inlineStr">
        <is>
          <t>CB-22</t>
        </is>
      </c>
      <c r="C86" s="53" t="n">
        <v>199</v>
      </c>
      <c r="D86" s="53" t="n">
        <v>9.300000000000001</v>
      </c>
      <c r="E86" s="53" t="n">
        <v>21.4</v>
      </c>
      <c r="F86" s="52" t="n">
        <v>256</v>
      </c>
      <c r="G86" s="53" t="n">
        <v>0.78</v>
      </c>
      <c r="H86" s="53" t="n">
        <v>299</v>
      </c>
      <c r="I86" s="53" t="n">
        <v>1.5</v>
      </c>
      <c r="J86" s="52" t="n">
        <v>8</v>
      </c>
    </row>
    <row r="87">
      <c r="A87" s="51" t="n">
        <v>46249</v>
      </c>
      <c r="B87" s="52" t="inlineStr">
        <is>
          <t>MG-01</t>
        </is>
      </c>
      <c r="C87" s="53" t="n">
        <v>130</v>
      </c>
      <c r="D87" s="53" t="n">
        <v>10.3</v>
      </c>
      <c r="E87" s="53" t="n">
        <v>12.62</v>
      </c>
      <c r="F87" s="52" t="n">
        <v>0</v>
      </c>
      <c r="G87" s="52" t="n">
        <v>0</v>
      </c>
      <c r="H87" s="52" t="n">
        <v>0</v>
      </c>
      <c r="I87" s="53" t="n">
        <v>0</v>
      </c>
      <c r="J87" s="52" t="n">
        <v>0</v>
      </c>
    </row>
    <row r="88">
      <c r="A88" s="51" t="n">
        <v>46249</v>
      </c>
      <c r="B88" s="52" t="inlineStr">
        <is>
          <t>PC-01</t>
        </is>
      </c>
      <c r="C88" s="53" t="n">
        <v>188</v>
      </c>
      <c r="D88" s="53" t="n">
        <v>9.9</v>
      </c>
      <c r="E88" s="53" t="n">
        <v>18.99</v>
      </c>
      <c r="F88" s="52" t="n">
        <v>0</v>
      </c>
      <c r="G88" s="52" t="n">
        <v>0</v>
      </c>
      <c r="H88" s="52" t="n">
        <v>0</v>
      </c>
      <c r="I88" s="53" t="n">
        <v>0</v>
      </c>
      <c r="J88" s="52" t="n">
        <v>0</v>
      </c>
    </row>
    <row r="89">
      <c r="A89" s="51" t="n">
        <v>46249</v>
      </c>
      <c r="B89" s="52" t="inlineStr">
        <is>
          <t>PC-02</t>
        </is>
      </c>
      <c r="C89" s="53" t="n">
        <v>156</v>
      </c>
      <c r="D89" s="53" t="n">
        <v>8.199999999999999</v>
      </c>
      <c r="E89" s="53" t="n">
        <v>19.02</v>
      </c>
      <c r="F89" s="52" t="n">
        <v>0</v>
      </c>
      <c r="G89" s="52" t="n">
        <v>0</v>
      </c>
      <c r="H89" s="52" t="n">
        <v>0</v>
      </c>
      <c r="I89" s="53" t="n">
        <v>0</v>
      </c>
      <c r="J89" s="52" t="n">
        <v>0</v>
      </c>
    </row>
    <row r="90">
      <c r="A90" s="51" t="n">
        <v>46249</v>
      </c>
      <c r="B90" s="52" t="inlineStr">
        <is>
          <t>RD-01</t>
        </is>
      </c>
      <c r="C90" s="53" t="n">
        <v>128</v>
      </c>
      <c r="D90" s="53" t="n">
        <v>10.1</v>
      </c>
      <c r="E90" s="53" t="n">
        <v>12.67</v>
      </c>
      <c r="F90" s="52" t="n">
        <v>0</v>
      </c>
      <c r="G90" s="52" t="n">
        <v>0</v>
      </c>
      <c r="H90" s="52" t="n">
        <v>0</v>
      </c>
      <c r="I90" s="53" t="n">
        <v>0</v>
      </c>
      <c r="J90" s="52" t="n">
        <v>0</v>
      </c>
    </row>
    <row r="91">
      <c r="A91" s="51" t="n">
        <v>46251</v>
      </c>
      <c r="B91" s="52" t="inlineStr">
        <is>
          <t>CB-01</t>
        </is>
      </c>
      <c r="C91" s="53" t="n">
        <v>160</v>
      </c>
      <c r="D91" s="53" t="n">
        <v>8.1</v>
      </c>
      <c r="E91" s="53" t="n">
        <v>19.75</v>
      </c>
      <c r="F91" s="52" t="n">
        <v>336</v>
      </c>
      <c r="G91" s="53" t="n">
        <v>0.48</v>
      </c>
      <c r="H91" s="53" t="n">
        <v>332</v>
      </c>
      <c r="I91" s="53" t="n">
        <v>2.08</v>
      </c>
      <c r="J91" s="52" t="n">
        <v>12</v>
      </c>
    </row>
    <row r="92">
      <c r="A92" s="51" t="n">
        <v>46251</v>
      </c>
      <c r="B92" s="52" t="inlineStr">
        <is>
          <t>CB-11</t>
        </is>
      </c>
      <c r="C92" s="53" t="n">
        <v>109</v>
      </c>
      <c r="D92" s="53" t="n">
        <v>8.4</v>
      </c>
      <c r="E92" s="53" t="n">
        <v>12.98</v>
      </c>
      <c r="F92" s="52" t="n">
        <v>240</v>
      </c>
      <c r="G92" s="53" t="n">
        <v>0.45</v>
      </c>
      <c r="H92" s="53" t="n">
        <v>233</v>
      </c>
      <c r="I92" s="53" t="n">
        <v>2.14</v>
      </c>
      <c r="J92" s="52" t="n">
        <v>8</v>
      </c>
    </row>
    <row r="93">
      <c r="A93" s="51" t="n">
        <v>46251</v>
      </c>
      <c r="B93" s="52" t="inlineStr">
        <is>
          <t>CB-17</t>
        </is>
      </c>
      <c r="C93" s="53" t="n">
        <v>109</v>
      </c>
      <c r="D93" s="53" t="n">
        <v>9.9</v>
      </c>
      <c r="E93" s="53" t="n">
        <v>11.01</v>
      </c>
      <c r="F93" s="52" t="n">
        <v>224</v>
      </c>
      <c r="G93" s="53" t="n">
        <v>0.49</v>
      </c>
      <c r="H93" s="53" t="n">
        <v>226</v>
      </c>
      <c r="I93" s="53" t="n">
        <v>2.07</v>
      </c>
      <c r="J93" s="52" t="n">
        <v>7</v>
      </c>
    </row>
    <row r="94">
      <c r="A94" s="51" t="n">
        <v>46251</v>
      </c>
      <c r="B94" s="52" t="inlineStr">
        <is>
          <t>CB-22</t>
        </is>
      </c>
      <c r="C94" s="53" t="n">
        <v>162</v>
      </c>
      <c r="D94" s="53" t="n">
        <v>8.300000000000001</v>
      </c>
      <c r="E94" s="53" t="n">
        <v>19.52</v>
      </c>
      <c r="F94" s="52" t="n">
        <v>210</v>
      </c>
      <c r="G94" s="53" t="n">
        <v>0.77</v>
      </c>
      <c r="H94" s="53" t="n">
        <v>254</v>
      </c>
      <c r="I94" s="53" t="n">
        <v>1.57</v>
      </c>
      <c r="J94" s="52" t="n">
        <v>7</v>
      </c>
    </row>
    <row r="95">
      <c r="A95" s="51" t="n">
        <v>46251</v>
      </c>
      <c r="B95" s="52" t="inlineStr">
        <is>
          <t>MG-01</t>
        </is>
      </c>
      <c r="C95" s="53" t="n">
        <v>106</v>
      </c>
      <c r="D95" s="53" t="n">
        <v>9</v>
      </c>
      <c r="E95" s="53" t="n">
        <v>11.78</v>
      </c>
      <c r="F95" s="52" t="n">
        <v>0</v>
      </c>
      <c r="G95" s="52" t="n">
        <v>0</v>
      </c>
      <c r="H95" s="52" t="n">
        <v>0</v>
      </c>
      <c r="I95" s="53" t="n">
        <v>0</v>
      </c>
      <c r="J95" s="52" t="n">
        <v>0</v>
      </c>
    </row>
    <row r="96">
      <c r="A96" s="51" t="n">
        <v>46251</v>
      </c>
      <c r="B96" s="52" t="inlineStr">
        <is>
          <t>PC-01</t>
        </is>
      </c>
      <c r="C96" s="53" t="n">
        <v>165</v>
      </c>
      <c r="D96" s="53" t="n">
        <v>8.699999999999999</v>
      </c>
      <c r="E96" s="53" t="n">
        <v>18.97</v>
      </c>
      <c r="F96" s="52" t="n">
        <v>0</v>
      </c>
      <c r="G96" s="52" t="n">
        <v>0</v>
      </c>
      <c r="H96" s="52" t="n">
        <v>0</v>
      </c>
      <c r="I96" s="53" t="n">
        <v>0</v>
      </c>
      <c r="J96" s="52" t="n">
        <v>0</v>
      </c>
    </row>
    <row r="97">
      <c r="A97" s="51" t="n">
        <v>46251</v>
      </c>
      <c r="B97" s="52" t="inlineStr">
        <is>
          <t>PC-02</t>
        </is>
      </c>
      <c r="C97" s="53" t="n">
        <v>209</v>
      </c>
      <c r="D97" s="53" t="n">
        <v>10.5</v>
      </c>
      <c r="E97" s="53" t="n">
        <v>19.9</v>
      </c>
      <c r="F97" s="52" t="n">
        <v>0</v>
      </c>
      <c r="G97" s="52" t="n">
        <v>0</v>
      </c>
      <c r="H97" s="52" t="n">
        <v>0</v>
      </c>
      <c r="I97" s="53" t="n">
        <v>0</v>
      </c>
      <c r="J97" s="52" t="n">
        <v>0</v>
      </c>
    </row>
    <row r="98">
      <c r="A98" s="51" t="n">
        <v>46251</v>
      </c>
      <c r="B98" s="52" t="inlineStr">
        <is>
          <t>RD-01</t>
        </is>
      </c>
      <c r="C98" s="53" t="n">
        <v>95</v>
      </c>
      <c r="D98" s="53" t="n">
        <v>8</v>
      </c>
      <c r="E98" s="53" t="n">
        <v>11.88</v>
      </c>
      <c r="F98" s="52" t="n">
        <v>0</v>
      </c>
      <c r="G98" s="52" t="n">
        <v>0</v>
      </c>
      <c r="H98" s="52" t="n">
        <v>0</v>
      </c>
      <c r="I98" s="53" t="n">
        <v>0</v>
      </c>
      <c r="J98" s="52" t="n">
        <v>0</v>
      </c>
    </row>
    <row r="99">
      <c r="A99" s="51" t="n">
        <v>46252</v>
      </c>
      <c r="B99" s="52" t="inlineStr">
        <is>
          <t>CB-01</t>
        </is>
      </c>
      <c r="C99" s="53" t="n">
        <v>138</v>
      </c>
      <c r="D99" s="53" t="n">
        <v>8.1</v>
      </c>
      <c r="E99" s="53" t="n">
        <v>17.04</v>
      </c>
      <c r="F99" s="52" t="n">
        <v>280</v>
      </c>
      <c r="G99" s="53" t="n">
        <v>0.49</v>
      </c>
      <c r="H99" s="53" t="n">
        <v>276</v>
      </c>
      <c r="I99" s="53" t="n">
        <v>2</v>
      </c>
      <c r="J99" s="52" t="n">
        <v>10</v>
      </c>
    </row>
    <row r="100">
      <c r="A100" s="51" t="n">
        <v>46252</v>
      </c>
      <c r="B100" s="52" t="inlineStr">
        <is>
          <t>CB-11</t>
        </is>
      </c>
      <c r="C100" s="53" t="n">
        <v>174</v>
      </c>
      <c r="D100" s="53" t="n">
        <v>9.199999999999999</v>
      </c>
      <c r="E100" s="53" t="n">
        <v>18.91</v>
      </c>
      <c r="F100" s="52" t="n">
        <v>384</v>
      </c>
      <c r="G100" s="53" t="n">
        <v>0.45</v>
      </c>
      <c r="H100" s="53" t="n">
        <v>359</v>
      </c>
      <c r="I100" s="53" t="n">
        <v>2.06</v>
      </c>
      <c r="J100" s="52" t="n">
        <v>12</v>
      </c>
    </row>
    <row r="101">
      <c r="A101" s="51" t="n">
        <v>46252</v>
      </c>
      <c r="B101" s="52" t="inlineStr">
        <is>
          <t>CB-17</t>
        </is>
      </c>
      <c r="C101" s="53" t="n">
        <v>85</v>
      </c>
      <c r="D101" s="53" t="n">
        <v>9.4</v>
      </c>
      <c r="E101" s="53" t="n">
        <v>9.039999999999999</v>
      </c>
      <c r="F101" s="52" t="n">
        <v>168</v>
      </c>
      <c r="G101" s="53" t="n">
        <v>0.51</v>
      </c>
      <c r="H101" s="53" t="n">
        <v>184</v>
      </c>
      <c r="I101" s="53" t="n">
        <v>2.16</v>
      </c>
      <c r="J101" s="52" t="n">
        <v>6</v>
      </c>
    </row>
    <row r="102">
      <c r="A102" s="51" t="n">
        <v>46252</v>
      </c>
      <c r="B102" s="52" t="inlineStr">
        <is>
          <t>CB-22</t>
        </is>
      </c>
      <c r="C102" s="53" t="n">
        <v>131</v>
      </c>
      <c r="D102" s="53" t="n">
        <v>10.4</v>
      </c>
      <c r="E102" s="53" t="n">
        <v>12.6</v>
      </c>
      <c r="F102" s="52" t="n">
        <v>168</v>
      </c>
      <c r="G102" s="53" t="n">
        <v>0.78</v>
      </c>
      <c r="H102" s="53" t="n">
        <v>187</v>
      </c>
      <c r="I102" s="53" t="n">
        <v>1.43</v>
      </c>
      <c r="J102" s="52" t="n">
        <v>6</v>
      </c>
    </row>
    <row r="103">
      <c r="A103" s="51" t="n">
        <v>46252</v>
      </c>
      <c r="B103" s="52" t="inlineStr">
        <is>
          <t>MG-01</t>
        </is>
      </c>
      <c r="C103" s="53" t="n">
        <v>95</v>
      </c>
      <c r="D103" s="53" t="n">
        <v>8.300000000000001</v>
      </c>
      <c r="E103" s="53" t="n">
        <v>11.45</v>
      </c>
      <c r="F103" s="52" t="n">
        <v>0</v>
      </c>
      <c r="G103" s="52" t="n">
        <v>0</v>
      </c>
      <c r="H103" s="52" t="n">
        <v>0</v>
      </c>
      <c r="I103" s="53" t="n">
        <v>0</v>
      </c>
      <c r="J103" s="52" t="n">
        <v>0</v>
      </c>
    </row>
    <row r="104">
      <c r="A104" s="51" t="n">
        <v>46252</v>
      </c>
      <c r="B104" s="52" t="inlineStr">
        <is>
          <t>PC-01</t>
        </is>
      </c>
      <c r="C104" s="53" t="n">
        <v>180</v>
      </c>
      <c r="D104" s="53" t="n">
        <v>9.800000000000001</v>
      </c>
      <c r="E104" s="53" t="n">
        <v>18.37</v>
      </c>
      <c r="F104" s="52" t="n">
        <v>0</v>
      </c>
      <c r="G104" s="52" t="n">
        <v>0</v>
      </c>
      <c r="H104" s="52" t="n">
        <v>0</v>
      </c>
      <c r="I104" s="53" t="n">
        <v>0</v>
      </c>
      <c r="J104" s="52" t="n">
        <v>0</v>
      </c>
    </row>
    <row r="105">
      <c r="A105" s="51" t="n">
        <v>46252</v>
      </c>
      <c r="B105" s="52" t="inlineStr">
        <is>
          <t>PC-02</t>
        </is>
      </c>
      <c r="C105" s="53" t="n">
        <v>148</v>
      </c>
      <c r="D105" s="53" t="n">
        <v>7.9</v>
      </c>
      <c r="E105" s="53" t="n">
        <v>18.73</v>
      </c>
      <c r="F105" s="52" t="n">
        <v>0</v>
      </c>
      <c r="G105" s="52" t="n">
        <v>0</v>
      </c>
      <c r="H105" s="52" t="n">
        <v>0</v>
      </c>
      <c r="I105" s="53" t="n">
        <v>0</v>
      </c>
      <c r="J105" s="52" t="n">
        <v>0</v>
      </c>
    </row>
    <row r="106">
      <c r="A106" s="51" t="n">
        <v>46252</v>
      </c>
      <c r="B106" s="52" t="inlineStr">
        <is>
          <t>RD-01</t>
        </is>
      </c>
      <c r="C106" s="53" t="n">
        <v>128</v>
      </c>
      <c r="D106" s="53" t="n">
        <v>10.2</v>
      </c>
      <c r="E106" s="53" t="n">
        <v>12.55</v>
      </c>
      <c r="F106" s="52" t="n">
        <v>0</v>
      </c>
      <c r="G106" s="52" t="n">
        <v>0</v>
      </c>
      <c r="H106" s="52" t="n">
        <v>0</v>
      </c>
      <c r="I106" s="53" t="n">
        <v>0</v>
      </c>
      <c r="J106" s="52" t="n">
        <v>0</v>
      </c>
    </row>
    <row r="107">
      <c r="A107" s="51" t="n">
        <v>46253</v>
      </c>
      <c r="B107" s="52" t="inlineStr">
        <is>
          <t>CB-01</t>
        </is>
      </c>
      <c r="C107" s="53" t="n">
        <v>180</v>
      </c>
      <c r="D107" s="53" t="n">
        <v>10.3</v>
      </c>
      <c r="E107" s="53" t="n">
        <v>17.48</v>
      </c>
      <c r="F107" s="52" t="n">
        <v>384</v>
      </c>
      <c r="G107" s="53" t="n">
        <v>0.47</v>
      </c>
      <c r="H107" s="53" t="n">
        <v>370</v>
      </c>
      <c r="I107" s="53" t="n">
        <v>2.06</v>
      </c>
      <c r="J107" s="52" t="n">
        <v>12</v>
      </c>
    </row>
    <row r="108">
      <c r="A108" s="51" t="n">
        <v>46253</v>
      </c>
      <c r="B108" s="52" t="inlineStr">
        <is>
          <t>CB-11</t>
        </is>
      </c>
      <c r="C108" s="53" t="n">
        <v>106</v>
      </c>
      <c r="D108" s="53" t="n">
        <v>9.9</v>
      </c>
      <c r="E108" s="53" t="n">
        <v>10.71</v>
      </c>
      <c r="F108" s="52" t="n">
        <v>210</v>
      </c>
      <c r="G108" s="53" t="n">
        <v>0.5</v>
      </c>
      <c r="H108" s="53" t="n">
        <v>217</v>
      </c>
      <c r="I108" s="53" t="n">
        <v>2.05</v>
      </c>
      <c r="J108" s="52" t="n">
        <v>7</v>
      </c>
    </row>
    <row r="109">
      <c r="A109" s="51" t="n">
        <v>46253</v>
      </c>
      <c r="B109" s="52" t="inlineStr">
        <is>
          <t>CB-17</t>
        </is>
      </c>
      <c r="C109" s="53" t="n">
        <v>82</v>
      </c>
      <c r="D109" s="53" t="n">
        <v>7.6</v>
      </c>
      <c r="E109" s="53" t="n">
        <v>10.79</v>
      </c>
      <c r="F109" s="52" t="n">
        <v>180</v>
      </c>
      <c r="G109" s="53" t="n">
        <v>0.46</v>
      </c>
      <c r="H109" s="53" t="n">
        <v>178</v>
      </c>
      <c r="I109" s="53" t="n">
        <v>2.17</v>
      </c>
      <c r="J109" s="52" t="n">
        <v>6</v>
      </c>
    </row>
    <row r="110">
      <c r="A110" s="51" t="n">
        <v>46253</v>
      </c>
      <c r="B110" s="52" t="inlineStr">
        <is>
          <t>CB-22</t>
        </is>
      </c>
      <c r="C110" s="53" t="n">
        <v>136</v>
      </c>
      <c r="D110" s="53" t="n">
        <v>7.7</v>
      </c>
      <c r="E110" s="53" t="n">
        <v>17.66</v>
      </c>
      <c r="F110" s="52" t="n">
        <v>180</v>
      </c>
      <c r="G110" s="53" t="n">
        <v>0.76</v>
      </c>
      <c r="H110" s="53" t="n">
        <v>214</v>
      </c>
      <c r="I110" s="53" t="n">
        <v>1.57</v>
      </c>
      <c r="J110" s="52" t="n">
        <v>6</v>
      </c>
    </row>
    <row r="111">
      <c r="A111" s="51" t="n">
        <v>46253</v>
      </c>
      <c r="B111" s="52" t="inlineStr">
        <is>
          <t>MG-01</t>
        </is>
      </c>
      <c r="C111" s="53" t="n">
        <v>121</v>
      </c>
      <c r="D111" s="53" t="n">
        <v>10.4</v>
      </c>
      <c r="E111" s="53" t="n">
        <v>11.63</v>
      </c>
      <c r="F111" s="52" t="n">
        <v>0</v>
      </c>
      <c r="G111" s="52" t="n">
        <v>0</v>
      </c>
      <c r="H111" s="52" t="n">
        <v>0</v>
      </c>
      <c r="I111" s="53" t="n">
        <v>0</v>
      </c>
      <c r="J111" s="52" t="n">
        <v>0</v>
      </c>
    </row>
    <row r="112">
      <c r="A112" s="51" t="n">
        <v>46253</v>
      </c>
      <c r="B112" s="52" t="inlineStr">
        <is>
          <t>PC-01</t>
        </is>
      </c>
      <c r="C112" s="53" t="n">
        <v>177</v>
      </c>
      <c r="D112" s="53" t="n">
        <v>8.800000000000001</v>
      </c>
      <c r="E112" s="53" t="n">
        <v>20.11</v>
      </c>
      <c r="F112" s="52" t="n">
        <v>0</v>
      </c>
      <c r="G112" s="52" t="n">
        <v>0</v>
      </c>
      <c r="H112" s="52" t="n">
        <v>0</v>
      </c>
      <c r="I112" s="53" t="n">
        <v>0</v>
      </c>
      <c r="J112" s="52" t="n">
        <v>0</v>
      </c>
    </row>
    <row r="113">
      <c r="A113" s="51" t="n">
        <v>46253</v>
      </c>
      <c r="B113" s="52" t="inlineStr">
        <is>
          <t>PC-02</t>
        </is>
      </c>
      <c r="C113" s="53" t="n">
        <v>167</v>
      </c>
      <c r="D113" s="53" t="n">
        <v>9.4</v>
      </c>
      <c r="E113" s="53" t="n">
        <v>17.77</v>
      </c>
      <c r="F113" s="52" t="n">
        <v>0</v>
      </c>
      <c r="G113" s="52" t="n">
        <v>0</v>
      </c>
      <c r="H113" s="52" t="n">
        <v>0</v>
      </c>
      <c r="I113" s="53" t="n">
        <v>0</v>
      </c>
      <c r="J113" s="52" t="n">
        <v>0</v>
      </c>
    </row>
    <row r="114">
      <c r="A114" s="51" t="n">
        <v>46253</v>
      </c>
      <c r="B114" s="52" t="inlineStr">
        <is>
          <t>RD-01</t>
        </is>
      </c>
      <c r="C114" s="53" t="n">
        <v>122</v>
      </c>
      <c r="D114" s="53" t="n">
        <v>9.6</v>
      </c>
      <c r="E114" s="53" t="n">
        <v>12.71</v>
      </c>
      <c r="F114" s="52" t="n">
        <v>0</v>
      </c>
      <c r="G114" s="52" t="n">
        <v>0</v>
      </c>
      <c r="H114" s="52" t="n">
        <v>0</v>
      </c>
      <c r="I114" s="53" t="n">
        <v>0</v>
      </c>
      <c r="J114" s="52" t="n">
        <v>0</v>
      </c>
    </row>
    <row r="115">
      <c r="A115" s="51" t="n">
        <v>46254</v>
      </c>
      <c r="B115" s="52" t="inlineStr">
        <is>
          <t>CB-01</t>
        </is>
      </c>
      <c r="C115" s="53" t="n">
        <v>135</v>
      </c>
      <c r="D115" s="53" t="n">
        <v>8</v>
      </c>
      <c r="E115" s="53" t="n">
        <v>16.88</v>
      </c>
      <c r="F115" s="52" t="n">
        <v>288</v>
      </c>
      <c r="G115" s="53" t="n">
        <v>0.47</v>
      </c>
      <c r="H115" s="53" t="n">
        <v>291</v>
      </c>
      <c r="I115" s="53" t="n">
        <v>2.16</v>
      </c>
      <c r="J115" s="52" t="n">
        <v>9</v>
      </c>
    </row>
    <row r="116">
      <c r="A116" s="51" t="n">
        <v>46254</v>
      </c>
      <c r="B116" s="52" t="inlineStr">
        <is>
          <t>CB-11</t>
        </is>
      </c>
      <c r="C116" s="53" t="n">
        <v>99</v>
      </c>
      <c r="D116" s="53" t="n">
        <v>8.4</v>
      </c>
      <c r="E116" s="53" t="n">
        <v>11.79</v>
      </c>
      <c r="F116" s="52" t="n">
        <v>210</v>
      </c>
      <c r="G116" s="53" t="n">
        <v>0.47</v>
      </c>
      <c r="H116" s="53" t="n">
        <v>198</v>
      </c>
      <c r="I116" s="53" t="n">
        <v>2</v>
      </c>
      <c r="J116" s="52" t="n">
        <v>7</v>
      </c>
    </row>
    <row r="117">
      <c r="A117" s="51" t="n">
        <v>46254</v>
      </c>
      <c r="B117" s="52" t="inlineStr">
        <is>
          <t>CB-17</t>
        </is>
      </c>
      <c r="C117" s="53" t="n">
        <v>69</v>
      </c>
      <c r="D117" s="53" t="n">
        <v>8.300000000000001</v>
      </c>
      <c r="E117" s="53" t="n">
        <v>8.31</v>
      </c>
      <c r="F117" s="52" t="n">
        <v>140</v>
      </c>
      <c r="G117" s="53" t="n">
        <v>0.49</v>
      </c>
      <c r="H117" s="53" t="n">
        <v>146</v>
      </c>
      <c r="I117" s="53" t="n">
        <v>2.12</v>
      </c>
      <c r="J117" s="52" t="n">
        <v>5</v>
      </c>
    </row>
    <row r="118">
      <c r="A118" s="51" t="n">
        <v>46254</v>
      </c>
      <c r="B118" s="52" t="inlineStr">
        <is>
          <t>CB-22</t>
        </is>
      </c>
      <c r="C118" s="53" t="n">
        <v>283</v>
      </c>
      <c r="D118" s="53" t="n">
        <v>8.1</v>
      </c>
      <c r="E118" s="53" t="n">
        <v>34.94</v>
      </c>
      <c r="F118" s="52" t="n">
        <v>336</v>
      </c>
      <c r="G118" s="53" t="n">
        <v>0.84</v>
      </c>
      <c r="H118" s="53" t="n">
        <v>408</v>
      </c>
      <c r="I118" s="53" t="n">
        <v>1.44</v>
      </c>
      <c r="J118" s="52" t="n">
        <v>12</v>
      </c>
    </row>
    <row r="119">
      <c r="A119" s="51" t="n">
        <v>46254</v>
      </c>
      <c r="B119" s="52" t="inlineStr">
        <is>
          <t>MG-01</t>
        </is>
      </c>
      <c r="C119" s="53" t="n">
        <v>123</v>
      </c>
      <c r="D119" s="53" t="n">
        <v>9.6</v>
      </c>
      <c r="E119" s="53" t="n">
        <v>12.81</v>
      </c>
      <c r="F119" s="52" t="n">
        <v>0</v>
      </c>
      <c r="G119" s="52" t="n">
        <v>0</v>
      </c>
      <c r="H119" s="52" t="n">
        <v>0</v>
      </c>
      <c r="I119" s="53" t="n">
        <v>0</v>
      </c>
      <c r="J119" s="52" t="n">
        <v>0</v>
      </c>
    </row>
    <row r="120">
      <c r="A120" s="51" t="n">
        <v>46254</v>
      </c>
      <c r="B120" s="52" t="inlineStr">
        <is>
          <t>PC-01</t>
        </is>
      </c>
      <c r="C120" s="53" t="n">
        <v>188</v>
      </c>
      <c r="D120" s="53" t="n">
        <v>10</v>
      </c>
      <c r="E120" s="53" t="n">
        <v>18.8</v>
      </c>
      <c r="F120" s="52" t="n">
        <v>0</v>
      </c>
      <c r="G120" s="52" t="n">
        <v>0</v>
      </c>
      <c r="H120" s="52" t="n">
        <v>0</v>
      </c>
      <c r="I120" s="53" t="n">
        <v>0</v>
      </c>
      <c r="J120" s="52" t="n">
        <v>0</v>
      </c>
    </row>
    <row r="121">
      <c r="A121" s="51" t="n">
        <v>46254</v>
      </c>
      <c r="B121" s="52" t="inlineStr">
        <is>
          <t>PC-02</t>
        </is>
      </c>
      <c r="C121" s="53" t="n">
        <v>179</v>
      </c>
      <c r="D121" s="53" t="n">
        <v>9</v>
      </c>
      <c r="E121" s="53" t="n">
        <v>19.89</v>
      </c>
      <c r="F121" s="52" t="n">
        <v>0</v>
      </c>
      <c r="G121" s="52" t="n">
        <v>0</v>
      </c>
      <c r="H121" s="52" t="n">
        <v>0</v>
      </c>
      <c r="I121" s="53" t="n">
        <v>0</v>
      </c>
      <c r="J121" s="52" t="n">
        <v>0</v>
      </c>
    </row>
    <row r="122">
      <c r="A122" s="51" t="n">
        <v>46254</v>
      </c>
      <c r="B122" s="52" t="inlineStr">
        <is>
          <t>RD-01</t>
        </is>
      </c>
      <c r="C122" s="53" t="n">
        <v>104</v>
      </c>
      <c r="D122" s="53" t="n">
        <v>8.699999999999999</v>
      </c>
      <c r="E122" s="53" t="n">
        <v>11.95</v>
      </c>
      <c r="F122" s="52" t="n">
        <v>0</v>
      </c>
      <c r="G122" s="52" t="n">
        <v>0</v>
      </c>
      <c r="H122" s="52" t="n">
        <v>0</v>
      </c>
      <c r="I122" s="53" t="n">
        <v>0</v>
      </c>
      <c r="J122" s="52" t="n">
        <v>0</v>
      </c>
    </row>
    <row r="123">
      <c r="A123" s="51" t="n">
        <v>46255</v>
      </c>
      <c r="B123" s="52" t="inlineStr">
        <is>
          <t>CB-01</t>
        </is>
      </c>
      <c r="C123" s="53" t="n">
        <v>107</v>
      </c>
      <c r="D123" s="53" t="n">
        <v>8.5</v>
      </c>
      <c r="E123" s="53" t="n">
        <v>12.59</v>
      </c>
      <c r="F123" s="52" t="n">
        <v>210</v>
      </c>
      <c r="G123" s="53" t="n">
        <v>0.51</v>
      </c>
      <c r="H123" s="53" t="n">
        <v>236</v>
      </c>
      <c r="I123" s="53" t="n">
        <v>2.21</v>
      </c>
      <c r="J123" s="52" t="n">
        <v>7</v>
      </c>
    </row>
    <row r="124">
      <c r="A124" s="51" t="n">
        <v>46255</v>
      </c>
      <c r="B124" s="52" t="inlineStr">
        <is>
          <t>CB-11</t>
        </is>
      </c>
      <c r="C124" s="53" t="n">
        <v>68</v>
      </c>
      <c r="D124" s="53" t="n">
        <v>10</v>
      </c>
      <c r="E124" s="53" t="n">
        <v>6.8</v>
      </c>
      <c r="F124" s="52" t="n">
        <v>140</v>
      </c>
      <c r="G124" s="53" t="n">
        <v>0.49</v>
      </c>
      <c r="H124" s="53" t="n">
        <v>148</v>
      </c>
      <c r="I124" s="53" t="n">
        <v>2.18</v>
      </c>
      <c r="J124" s="52" t="n">
        <v>5</v>
      </c>
    </row>
    <row r="125">
      <c r="A125" s="51" t="n">
        <v>46255</v>
      </c>
      <c r="B125" s="52" t="inlineStr">
        <is>
          <t>CB-17</t>
        </is>
      </c>
      <c r="C125" s="53" t="n">
        <v>69</v>
      </c>
      <c r="D125" s="53" t="n">
        <v>8.800000000000001</v>
      </c>
      <c r="E125" s="53" t="n">
        <v>7.84</v>
      </c>
      <c r="F125" s="52" t="n">
        <v>140</v>
      </c>
      <c r="G125" s="53" t="n">
        <v>0.49</v>
      </c>
      <c r="H125" s="53" t="n">
        <v>143</v>
      </c>
      <c r="I125" s="53" t="n">
        <v>2.07</v>
      </c>
      <c r="J125" s="52" t="n">
        <v>5</v>
      </c>
    </row>
    <row r="126">
      <c r="A126" s="51" t="n">
        <v>46255</v>
      </c>
      <c r="B126" s="52" t="inlineStr">
        <is>
          <t>CB-22</t>
        </is>
      </c>
      <c r="C126" s="53" t="n">
        <v>223</v>
      </c>
      <c r="D126" s="53" t="n">
        <v>9</v>
      </c>
      <c r="E126" s="53" t="n">
        <v>24.78</v>
      </c>
      <c r="F126" s="52" t="n">
        <v>288</v>
      </c>
      <c r="G126" s="53" t="n">
        <v>0.77</v>
      </c>
      <c r="H126" s="53" t="n">
        <v>328</v>
      </c>
      <c r="I126" s="53" t="n">
        <v>1.47</v>
      </c>
      <c r="J126" s="52" t="n">
        <v>9</v>
      </c>
    </row>
    <row r="127">
      <c r="A127" s="51" t="n">
        <v>46255</v>
      </c>
      <c r="B127" s="52" t="inlineStr">
        <is>
          <t>MG-01</t>
        </is>
      </c>
      <c r="C127" s="53" t="n">
        <v>133</v>
      </c>
      <c r="D127" s="53" t="n">
        <v>10.4</v>
      </c>
      <c r="E127" s="53" t="n">
        <v>12.79</v>
      </c>
      <c r="F127" s="52" t="n">
        <v>0</v>
      </c>
      <c r="G127" s="52" t="n">
        <v>0</v>
      </c>
      <c r="H127" s="52" t="n">
        <v>0</v>
      </c>
      <c r="I127" s="53" t="n">
        <v>0</v>
      </c>
      <c r="J127" s="52" t="n">
        <v>0</v>
      </c>
    </row>
    <row r="128">
      <c r="A128" s="51" t="n">
        <v>46255</v>
      </c>
      <c r="B128" s="52" t="inlineStr">
        <is>
          <t>PC-01</t>
        </is>
      </c>
      <c r="C128" s="53" t="n">
        <v>161</v>
      </c>
      <c r="D128" s="53" t="n">
        <v>8.9</v>
      </c>
      <c r="E128" s="53" t="n">
        <v>18.09</v>
      </c>
      <c r="F128" s="52" t="n">
        <v>0</v>
      </c>
      <c r="G128" s="52" t="n">
        <v>0</v>
      </c>
      <c r="H128" s="52" t="n">
        <v>0</v>
      </c>
      <c r="I128" s="53" t="n">
        <v>0</v>
      </c>
      <c r="J128" s="52" t="n">
        <v>0</v>
      </c>
    </row>
    <row r="129">
      <c r="A129" s="51" t="n">
        <v>46255</v>
      </c>
      <c r="B129" s="52" t="inlineStr">
        <is>
          <t>RD-01</t>
        </is>
      </c>
      <c r="C129" s="53" t="n">
        <v>102</v>
      </c>
      <c r="D129" s="53" t="n">
        <v>8.800000000000001</v>
      </c>
      <c r="E129" s="53" t="n">
        <v>11.59</v>
      </c>
      <c r="F129" s="52" t="n">
        <v>0</v>
      </c>
      <c r="G129" s="52" t="n">
        <v>0</v>
      </c>
      <c r="H129" s="52" t="n">
        <v>0</v>
      </c>
      <c r="I129" s="53" t="n">
        <v>0</v>
      </c>
      <c r="J129" s="52" t="n">
        <v>0</v>
      </c>
    </row>
    <row r="130">
      <c r="A130" s="51" t="n">
        <v>46256</v>
      </c>
      <c r="B130" s="52" t="inlineStr">
        <is>
          <t>CB-01</t>
        </is>
      </c>
      <c r="C130" s="53" t="n">
        <v>114</v>
      </c>
      <c r="D130" s="53" t="n">
        <v>9.1</v>
      </c>
      <c r="E130" s="53" t="n">
        <v>12.53</v>
      </c>
      <c r="F130" s="52" t="n">
        <v>224</v>
      </c>
      <c r="G130" s="53" t="n">
        <v>0.51</v>
      </c>
      <c r="H130" s="53" t="n">
        <v>235</v>
      </c>
      <c r="I130" s="53" t="n">
        <v>2.06</v>
      </c>
      <c r="J130" s="52" t="n">
        <v>8</v>
      </c>
    </row>
    <row r="131">
      <c r="A131" s="51" t="n">
        <v>46256</v>
      </c>
      <c r="B131" s="52" t="inlineStr">
        <is>
          <t>CB-11</t>
        </is>
      </c>
      <c r="C131" s="53" t="n">
        <v>71</v>
      </c>
      <c r="D131" s="53" t="n">
        <v>8.6</v>
      </c>
      <c r="E131" s="53" t="n">
        <v>8.26</v>
      </c>
      <c r="F131" s="52" t="n">
        <v>150</v>
      </c>
      <c r="G131" s="53" t="n">
        <v>0.47</v>
      </c>
      <c r="H131" s="53" t="n">
        <v>149</v>
      </c>
      <c r="I131" s="53" t="n">
        <v>2.1</v>
      </c>
      <c r="J131" s="52" t="n">
        <v>5</v>
      </c>
    </row>
    <row r="132">
      <c r="A132" s="51" t="n">
        <v>46256</v>
      </c>
      <c r="B132" s="52" t="inlineStr">
        <is>
          <t>CB-17</t>
        </is>
      </c>
      <c r="C132" s="53" t="n">
        <v>108</v>
      </c>
      <c r="D132" s="53" t="n">
        <v>9</v>
      </c>
      <c r="E132" s="53" t="n">
        <v>12</v>
      </c>
      <c r="F132" s="52" t="n">
        <v>224</v>
      </c>
      <c r="G132" s="53" t="n">
        <v>0.48</v>
      </c>
      <c r="H132" s="53" t="n">
        <v>216</v>
      </c>
      <c r="I132" s="53" t="n">
        <v>2</v>
      </c>
      <c r="J132" s="52" t="n">
        <v>8</v>
      </c>
    </row>
    <row r="133">
      <c r="A133" s="51" t="n">
        <v>46256</v>
      </c>
      <c r="B133" s="52" t="inlineStr">
        <is>
          <t>CB-22</t>
        </is>
      </c>
      <c r="C133" s="53" t="n">
        <v>133</v>
      </c>
      <c r="D133" s="53" t="n">
        <v>8.300000000000001</v>
      </c>
      <c r="E133" s="53" t="n">
        <v>16.02</v>
      </c>
      <c r="F133" s="52" t="n">
        <v>168</v>
      </c>
      <c r="G133" s="53" t="n">
        <v>0.79</v>
      </c>
      <c r="H133" s="53" t="n">
        <v>190</v>
      </c>
      <c r="I133" s="53" t="n">
        <v>1.43</v>
      </c>
      <c r="J133" s="52" t="n">
        <v>6</v>
      </c>
    </row>
    <row r="134">
      <c r="A134" s="51" t="n">
        <v>46256</v>
      </c>
      <c r="B134" s="52" t="inlineStr">
        <is>
          <t>MG-01</t>
        </is>
      </c>
      <c r="C134" s="53" t="n">
        <v>117</v>
      </c>
      <c r="D134" s="53" t="n">
        <v>9.5</v>
      </c>
      <c r="E134" s="53" t="n">
        <v>12.32</v>
      </c>
      <c r="F134" s="52" t="n">
        <v>0</v>
      </c>
      <c r="G134" s="52" t="n">
        <v>0</v>
      </c>
      <c r="H134" s="52" t="n">
        <v>0</v>
      </c>
      <c r="I134" s="53" t="n">
        <v>0</v>
      </c>
      <c r="J134" s="52" t="n">
        <v>0</v>
      </c>
    </row>
    <row r="135">
      <c r="A135" s="51" t="n">
        <v>46256</v>
      </c>
      <c r="B135" s="52" t="inlineStr">
        <is>
          <t>PC-01</t>
        </is>
      </c>
      <c r="C135" s="53" t="n">
        <v>140</v>
      </c>
      <c r="D135" s="53" t="n">
        <v>7.6</v>
      </c>
      <c r="E135" s="53" t="n">
        <v>18.42</v>
      </c>
      <c r="F135" s="52" t="n">
        <v>0</v>
      </c>
      <c r="G135" s="52" t="n">
        <v>0</v>
      </c>
      <c r="H135" s="52" t="n">
        <v>0</v>
      </c>
      <c r="I135" s="53" t="n">
        <v>0</v>
      </c>
      <c r="J135" s="52" t="n">
        <v>0</v>
      </c>
    </row>
    <row r="136">
      <c r="A136" s="51" t="n">
        <v>46256</v>
      </c>
      <c r="B136" s="52" t="inlineStr">
        <is>
          <t>PC-02</t>
        </is>
      </c>
      <c r="C136" s="53" t="n">
        <v>158</v>
      </c>
      <c r="D136" s="53" t="n">
        <v>8.199999999999999</v>
      </c>
      <c r="E136" s="53" t="n">
        <v>19.27</v>
      </c>
      <c r="F136" s="52" t="n">
        <v>0</v>
      </c>
      <c r="G136" s="52" t="n">
        <v>0</v>
      </c>
      <c r="H136" s="52" t="n">
        <v>0</v>
      </c>
      <c r="I136" s="53" t="n">
        <v>0</v>
      </c>
      <c r="J136" s="52" t="n">
        <v>0</v>
      </c>
    </row>
    <row r="137">
      <c r="A137" s="51" t="n">
        <v>46256</v>
      </c>
      <c r="B137" s="52" t="inlineStr">
        <is>
          <t>RD-01</t>
        </is>
      </c>
      <c r="C137" s="53" t="n">
        <v>113</v>
      </c>
      <c r="D137" s="53" t="n">
        <v>9.1</v>
      </c>
      <c r="E137" s="53" t="n">
        <v>12.42</v>
      </c>
      <c r="F137" s="52" t="n">
        <v>0</v>
      </c>
      <c r="G137" s="52" t="n">
        <v>0</v>
      </c>
      <c r="H137" s="52" t="n">
        <v>0</v>
      </c>
      <c r="I137" s="53" t="n">
        <v>0</v>
      </c>
      <c r="J137" s="52" t="n">
        <v>0</v>
      </c>
    </row>
    <row r="138">
      <c r="A138" s="51" t="n">
        <v>46258</v>
      </c>
      <c r="B138" s="52" t="inlineStr">
        <is>
          <t>CB-01</t>
        </is>
      </c>
      <c r="C138" s="53" t="n">
        <v>163</v>
      </c>
      <c r="D138" s="53" t="n">
        <v>10.1</v>
      </c>
      <c r="E138" s="53" t="n">
        <v>16.14</v>
      </c>
      <c r="F138" s="52" t="n">
        <v>330</v>
      </c>
      <c r="G138" s="53" t="n">
        <v>0.49</v>
      </c>
      <c r="H138" s="53" t="n">
        <v>342</v>
      </c>
      <c r="I138" s="53" t="n">
        <v>2.1</v>
      </c>
      <c r="J138" s="52" t="n">
        <v>11</v>
      </c>
    </row>
    <row r="139">
      <c r="A139" s="51" t="n">
        <v>46258</v>
      </c>
      <c r="B139" s="52" t="inlineStr">
        <is>
          <t>CB-11</t>
        </is>
      </c>
      <c r="C139" s="53" t="n">
        <v>98</v>
      </c>
      <c r="D139" s="53" t="n">
        <v>8.4</v>
      </c>
      <c r="E139" s="53" t="n">
        <v>11.67</v>
      </c>
      <c r="F139" s="52" t="n">
        <v>196</v>
      </c>
      <c r="G139" s="53" t="n">
        <v>0.5</v>
      </c>
      <c r="H139" s="53" t="n">
        <v>210</v>
      </c>
      <c r="I139" s="53" t="n">
        <v>2.14</v>
      </c>
      <c r="J139" s="52" t="n">
        <v>7</v>
      </c>
    </row>
    <row r="140">
      <c r="A140" s="51" t="n">
        <v>46258</v>
      </c>
      <c r="B140" s="52" t="inlineStr">
        <is>
          <t>CB-17</t>
        </is>
      </c>
      <c r="C140" s="53" t="n">
        <v>173</v>
      </c>
      <c r="D140" s="53" t="n">
        <v>9</v>
      </c>
      <c r="E140" s="53" t="n">
        <v>19.22</v>
      </c>
      <c r="F140" s="52" t="n">
        <v>352</v>
      </c>
      <c r="G140" s="53" t="n">
        <v>0.49</v>
      </c>
      <c r="H140" s="53" t="n">
        <v>364</v>
      </c>
      <c r="I140" s="53" t="n">
        <v>2.1</v>
      </c>
      <c r="J140" s="52" t="n">
        <v>11</v>
      </c>
    </row>
    <row r="141">
      <c r="A141" s="51" t="n">
        <v>46258</v>
      </c>
      <c r="B141" s="52" t="inlineStr">
        <is>
          <t>CB-22</t>
        </is>
      </c>
      <c r="C141" s="53" t="n">
        <v>129</v>
      </c>
      <c r="D141" s="53" t="n">
        <v>10.2</v>
      </c>
      <c r="E141" s="53" t="n">
        <v>12.65</v>
      </c>
      <c r="F141" s="52" t="n">
        <v>160</v>
      </c>
      <c r="G141" s="53" t="n">
        <v>0.8100000000000001</v>
      </c>
      <c r="H141" s="53" t="n">
        <v>201</v>
      </c>
      <c r="I141" s="53" t="n">
        <v>1.56</v>
      </c>
      <c r="J141" s="52" t="n">
        <v>5</v>
      </c>
    </row>
    <row r="142">
      <c r="A142" s="51" t="n">
        <v>46258</v>
      </c>
      <c r="B142" s="52" t="inlineStr">
        <is>
          <t>MG-01</t>
        </is>
      </c>
      <c r="C142" s="53" t="n">
        <v>98</v>
      </c>
      <c r="D142" s="53" t="n">
        <v>7.8</v>
      </c>
      <c r="E142" s="53" t="n">
        <v>12.56</v>
      </c>
      <c r="F142" s="52" t="n">
        <v>0</v>
      </c>
      <c r="G142" s="52" t="n">
        <v>0</v>
      </c>
      <c r="H142" s="52" t="n">
        <v>0</v>
      </c>
      <c r="I142" s="53" t="n">
        <v>0</v>
      </c>
      <c r="J142" s="52" t="n">
        <v>0</v>
      </c>
    </row>
    <row r="143">
      <c r="A143" s="51" t="n">
        <v>46258</v>
      </c>
      <c r="B143" s="52" t="inlineStr">
        <is>
          <t>PC-01</t>
        </is>
      </c>
      <c r="C143" s="53" t="n">
        <v>185</v>
      </c>
      <c r="D143" s="53" t="n">
        <v>9.5</v>
      </c>
      <c r="E143" s="53" t="n">
        <v>19.47</v>
      </c>
      <c r="F143" s="52" t="n">
        <v>0</v>
      </c>
      <c r="G143" s="52" t="n">
        <v>0</v>
      </c>
      <c r="H143" s="52" t="n">
        <v>0</v>
      </c>
      <c r="I143" s="53" t="n">
        <v>0</v>
      </c>
      <c r="J143" s="52" t="n">
        <v>0</v>
      </c>
    </row>
    <row r="144">
      <c r="A144" s="51" t="n">
        <v>46258</v>
      </c>
      <c r="B144" s="52" t="inlineStr">
        <is>
          <t>PC-02</t>
        </is>
      </c>
      <c r="C144" s="53" t="n">
        <v>146</v>
      </c>
      <c r="D144" s="53" t="n">
        <v>8.199999999999999</v>
      </c>
      <c r="E144" s="53" t="n">
        <v>17.8</v>
      </c>
      <c r="F144" s="52" t="n">
        <v>0</v>
      </c>
      <c r="G144" s="52" t="n">
        <v>0</v>
      </c>
      <c r="H144" s="52" t="n">
        <v>0</v>
      </c>
      <c r="I144" s="53" t="n">
        <v>0</v>
      </c>
      <c r="J144" s="52" t="n">
        <v>0</v>
      </c>
    </row>
    <row r="145">
      <c r="A145" s="51" t="n">
        <v>46258</v>
      </c>
      <c r="B145" s="52" t="inlineStr">
        <is>
          <t>RD-01</t>
        </is>
      </c>
      <c r="C145" s="53" t="n">
        <v>93</v>
      </c>
      <c r="D145" s="53" t="n">
        <v>7.9</v>
      </c>
      <c r="E145" s="53" t="n">
        <v>11.77</v>
      </c>
      <c r="F145" s="52" t="n">
        <v>0</v>
      </c>
      <c r="G145" s="52" t="n">
        <v>0</v>
      </c>
      <c r="H145" s="52" t="n">
        <v>0</v>
      </c>
      <c r="I145" s="53" t="n">
        <v>0</v>
      </c>
      <c r="J145" s="52" t="n">
        <v>0</v>
      </c>
    </row>
    <row r="146">
      <c r="A146" s="51" t="n">
        <v>46259</v>
      </c>
      <c r="B146" s="52" t="inlineStr">
        <is>
          <t>CB-01</t>
        </is>
      </c>
      <c r="C146" s="53" t="n">
        <v>77</v>
      </c>
      <c r="D146" s="53" t="n">
        <v>9.199999999999999</v>
      </c>
      <c r="E146" s="53" t="n">
        <v>8.369999999999999</v>
      </c>
      <c r="F146" s="52" t="n">
        <v>160</v>
      </c>
      <c r="G146" s="53" t="n">
        <v>0.48</v>
      </c>
      <c r="H146" s="53" t="n">
        <v>158</v>
      </c>
      <c r="I146" s="53" t="n">
        <v>2.05</v>
      </c>
      <c r="J146" s="52" t="n">
        <v>5</v>
      </c>
    </row>
    <row r="147">
      <c r="A147" s="51" t="n">
        <v>46259</v>
      </c>
      <c r="B147" s="52" t="inlineStr">
        <is>
          <t>CB-11</t>
        </is>
      </c>
      <c r="C147" s="53" t="n">
        <v>166</v>
      </c>
      <c r="D147" s="53" t="n">
        <v>8.300000000000001</v>
      </c>
      <c r="E147" s="53" t="n">
        <v>20</v>
      </c>
      <c r="F147" s="52" t="n">
        <v>336</v>
      </c>
      <c r="G147" s="53" t="n">
        <v>0.49</v>
      </c>
      <c r="H147" s="53" t="n">
        <v>349</v>
      </c>
      <c r="I147" s="53" t="n">
        <v>2.1</v>
      </c>
      <c r="J147" s="52" t="n">
        <v>12</v>
      </c>
    </row>
    <row r="148">
      <c r="A148" s="51" t="n">
        <v>46259</v>
      </c>
      <c r="B148" s="52" t="inlineStr">
        <is>
          <t>CB-17</t>
        </is>
      </c>
      <c r="C148" s="53" t="n">
        <v>95</v>
      </c>
      <c r="D148" s="53" t="n">
        <v>9.1</v>
      </c>
      <c r="E148" s="53" t="n">
        <v>10.44</v>
      </c>
      <c r="F148" s="52" t="n">
        <v>192</v>
      </c>
      <c r="G148" s="53" t="n">
        <v>0.49</v>
      </c>
      <c r="H148" s="53" t="n">
        <v>195</v>
      </c>
      <c r="I148" s="53" t="n">
        <v>2.05</v>
      </c>
      <c r="J148" s="52" t="n">
        <v>6</v>
      </c>
    </row>
    <row r="149">
      <c r="A149" s="51" t="n">
        <v>46259</v>
      </c>
      <c r="B149" s="52" t="inlineStr">
        <is>
          <t>CB-22</t>
        </is>
      </c>
      <c r="C149" s="53" t="n">
        <v>207</v>
      </c>
      <c r="D149" s="53" t="n">
        <v>7.7</v>
      </c>
      <c r="E149" s="53" t="n">
        <v>26.88</v>
      </c>
      <c r="F149" s="52" t="n">
        <v>252</v>
      </c>
      <c r="G149" s="53" t="n">
        <v>0.82</v>
      </c>
      <c r="H149" s="53" t="n">
        <v>301</v>
      </c>
      <c r="I149" s="53" t="n">
        <v>1.45</v>
      </c>
      <c r="J149" s="52" t="n">
        <v>9</v>
      </c>
    </row>
    <row r="150">
      <c r="A150" s="51" t="n">
        <v>46259</v>
      </c>
      <c r="B150" s="52" t="inlineStr">
        <is>
          <t>MG-01</t>
        </is>
      </c>
      <c r="C150" s="53" t="n">
        <v>120</v>
      </c>
      <c r="D150" s="53" t="n">
        <v>9.800000000000001</v>
      </c>
      <c r="E150" s="53" t="n">
        <v>12.24</v>
      </c>
      <c r="F150" s="52" t="n">
        <v>0</v>
      </c>
      <c r="G150" s="52" t="n">
        <v>0</v>
      </c>
      <c r="H150" s="52" t="n">
        <v>0</v>
      </c>
      <c r="I150" s="53" t="n">
        <v>0</v>
      </c>
      <c r="J150" s="52" t="n">
        <v>0</v>
      </c>
    </row>
    <row r="151">
      <c r="A151" s="51" t="n">
        <v>46259</v>
      </c>
      <c r="B151" s="52" t="inlineStr">
        <is>
          <t>PC-01</t>
        </is>
      </c>
      <c r="C151" s="53" t="n">
        <v>197</v>
      </c>
      <c r="D151" s="53" t="n">
        <v>9.699999999999999</v>
      </c>
      <c r="E151" s="53" t="n">
        <v>20.31</v>
      </c>
      <c r="F151" s="52" t="n">
        <v>0</v>
      </c>
      <c r="G151" s="52" t="n">
        <v>0</v>
      </c>
      <c r="H151" s="52" t="n">
        <v>0</v>
      </c>
      <c r="I151" s="53" t="n">
        <v>0</v>
      </c>
      <c r="J151" s="52" t="n">
        <v>0</v>
      </c>
    </row>
    <row r="152">
      <c r="A152" s="51" t="n">
        <v>46259</v>
      </c>
      <c r="B152" s="52" t="inlineStr">
        <is>
          <t>PC-02</t>
        </is>
      </c>
      <c r="C152" s="53" t="n">
        <v>168</v>
      </c>
      <c r="D152" s="53" t="n">
        <v>9</v>
      </c>
      <c r="E152" s="53" t="n">
        <v>18.67</v>
      </c>
      <c r="F152" s="52" t="n">
        <v>0</v>
      </c>
      <c r="G152" s="52" t="n">
        <v>0</v>
      </c>
      <c r="H152" s="52" t="n">
        <v>0</v>
      </c>
      <c r="I152" s="53" t="n">
        <v>0</v>
      </c>
      <c r="J152" s="52" t="n">
        <v>0</v>
      </c>
    </row>
    <row r="153">
      <c r="A153" s="51" t="n">
        <v>46259</v>
      </c>
      <c r="B153" s="52" t="inlineStr">
        <is>
          <t>RD-01</t>
        </is>
      </c>
      <c r="C153" s="53" t="n">
        <v>110</v>
      </c>
      <c r="D153" s="53" t="n">
        <v>8.9</v>
      </c>
      <c r="E153" s="53" t="n">
        <v>12.36</v>
      </c>
      <c r="F153" s="52" t="n">
        <v>0</v>
      </c>
      <c r="G153" s="52" t="n">
        <v>0</v>
      </c>
      <c r="H153" s="52" t="n">
        <v>0</v>
      </c>
      <c r="I153" s="53" t="n">
        <v>0</v>
      </c>
      <c r="J153" s="52" t="n">
        <v>0</v>
      </c>
    </row>
    <row r="154">
      <c r="A154" s="51" t="n">
        <v>46260</v>
      </c>
      <c r="B154" s="52" t="inlineStr">
        <is>
          <t>CB-01</t>
        </is>
      </c>
      <c r="C154" s="53" t="n">
        <v>88</v>
      </c>
      <c r="D154" s="53" t="n">
        <v>9.4</v>
      </c>
      <c r="E154" s="53" t="n">
        <v>9.359999999999999</v>
      </c>
      <c r="F154" s="52" t="n">
        <v>192</v>
      </c>
      <c r="G154" s="53" t="n">
        <v>0.46</v>
      </c>
      <c r="H154" s="53" t="n">
        <v>180</v>
      </c>
      <c r="I154" s="53" t="n">
        <v>2.05</v>
      </c>
      <c r="J154" s="52" t="n">
        <v>6</v>
      </c>
    </row>
    <row r="155">
      <c r="A155" s="51" t="n">
        <v>46260</v>
      </c>
      <c r="B155" s="52" t="inlineStr">
        <is>
          <t>CB-11</t>
        </is>
      </c>
      <c r="C155" s="53" t="n">
        <v>139</v>
      </c>
      <c r="D155" s="53" t="n">
        <v>9.699999999999999</v>
      </c>
      <c r="E155" s="53" t="n">
        <v>14.33</v>
      </c>
      <c r="F155" s="52" t="n">
        <v>288</v>
      </c>
      <c r="G155" s="53" t="n">
        <v>0.48</v>
      </c>
      <c r="H155" s="53" t="n">
        <v>278</v>
      </c>
      <c r="I155" s="53" t="n">
        <v>2</v>
      </c>
      <c r="J155" s="52" t="n">
        <v>9</v>
      </c>
    </row>
    <row r="156">
      <c r="A156" s="51" t="n">
        <v>46260</v>
      </c>
      <c r="B156" s="52" t="inlineStr">
        <is>
          <t>CB-17</t>
        </is>
      </c>
      <c r="C156" s="53" t="n">
        <v>132</v>
      </c>
      <c r="D156" s="53" t="n">
        <v>7.7</v>
      </c>
      <c r="E156" s="53" t="n">
        <v>17.14</v>
      </c>
      <c r="F156" s="52" t="n">
        <v>288</v>
      </c>
      <c r="G156" s="53" t="n">
        <v>0.46</v>
      </c>
      <c r="H156" s="53" t="n">
        <v>269</v>
      </c>
      <c r="I156" s="53" t="n">
        <v>2.04</v>
      </c>
      <c r="J156" s="52" t="n">
        <v>9</v>
      </c>
    </row>
    <row r="157">
      <c r="A157" s="51" t="n">
        <v>46260</v>
      </c>
      <c r="B157" s="52" t="inlineStr">
        <is>
          <t>CB-22</t>
        </is>
      </c>
      <c r="C157" s="53" t="n">
        <v>215</v>
      </c>
      <c r="D157" s="53" t="n">
        <v>9</v>
      </c>
      <c r="E157" s="53" t="n">
        <v>23.89</v>
      </c>
      <c r="F157" s="52" t="n">
        <v>270</v>
      </c>
      <c r="G157" s="53" t="n">
        <v>0.8</v>
      </c>
      <c r="H157" s="53" t="n">
        <v>331</v>
      </c>
      <c r="I157" s="53" t="n">
        <v>1.54</v>
      </c>
      <c r="J157" s="52" t="n">
        <v>9</v>
      </c>
    </row>
    <row r="158">
      <c r="A158" s="51" t="n">
        <v>46260</v>
      </c>
      <c r="B158" s="52" t="inlineStr">
        <is>
          <t>MG-01</t>
        </is>
      </c>
      <c r="C158" s="53" t="n">
        <v>104</v>
      </c>
      <c r="D158" s="53" t="n">
        <v>8.9</v>
      </c>
      <c r="E158" s="53" t="n">
        <v>11.69</v>
      </c>
      <c r="F158" s="52" t="n">
        <v>0</v>
      </c>
      <c r="G158" s="52" t="n">
        <v>0</v>
      </c>
      <c r="H158" s="52" t="n">
        <v>0</v>
      </c>
      <c r="I158" s="53" t="n">
        <v>0</v>
      </c>
      <c r="J158" s="52" t="n">
        <v>0</v>
      </c>
    </row>
    <row r="159">
      <c r="A159" s="51" t="n">
        <v>46260</v>
      </c>
      <c r="B159" s="52" t="inlineStr">
        <is>
          <t>PC-02</t>
        </is>
      </c>
      <c r="C159" s="53" t="n">
        <v>201</v>
      </c>
      <c r="D159" s="53" t="n">
        <v>10.5</v>
      </c>
      <c r="E159" s="53" t="n">
        <v>19.14</v>
      </c>
      <c r="F159" s="52" t="n">
        <v>0</v>
      </c>
      <c r="G159" s="52" t="n">
        <v>0</v>
      </c>
      <c r="H159" s="52" t="n">
        <v>0</v>
      </c>
      <c r="I159" s="53" t="n">
        <v>0</v>
      </c>
      <c r="J159" s="52" t="n">
        <v>0</v>
      </c>
    </row>
    <row r="160">
      <c r="A160" s="51" t="n">
        <v>46260</v>
      </c>
      <c r="B160" s="52" t="inlineStr">
        <is>
          <t>RD-01</t>
        </is>
      </c>
      <c r="C160" s="53" t="n">
        <v>95</v>
      </c>
      <c r="D160" s="53" t="n">
        <v>8.4</v>
      </c>
      <c r="E160" s="53" t="n">
        <v>11.31</v>
      </c>
      <c r="F160" s="52" t="n">
        <v>0</v>
      </c>
      <c r="G160" s="52" t="n">
        <v>0</v>
      </c>
      <c r="H160" s="52" t="n">
        <v>0</v>
      </c>
      <c r="I160" s="53" t="n">
        <v>0</v>
      </c>
      <c r="J160" s="52" t="n">
        <v>0</v>
      </c>
    </row>
    <row r="161">
      <c r="A161" s="51" t="n">
        <v>46261</v>
      </c>
      <c r="B161" s="52" t="inlineStr">
        <is>
          <t>CB-01</t>
        </is>
      </c>
      <c r="C161" s="53" t="n">
        <v>170</v>
      </c>
      <c r="D161" s="53" t="n">
        <v>7.7</v>
      </c>
      <c r="E161" s="53" t="n">
        <v>22.08</v>
      </c>
      <c r="F161" s="52" t="n">
        <v>360</v>
      </c>
      <c r="G161" s="53" t="n">
        <v>0.47</v>
      </c>
      <c r="H161" s="53" t="n">
        <v>372</v>
      </c>
      <c r="I161" s="53" t="n">
        <v>2.19</v>
      </c>
      <c r="J161" s="52" t="n">
        <v>12</v>
      </c>
    </row>
    <row r="162">
      <c r="A162" s="51" t="n">
        <v>46261</v>
      </c>
      <c r="B162" s="52" t="inlineStr">
        <is>
          <t>CB-11</t>
        </is>
      </c>
      <c r="C162" s="53" t="n">
        <v>88</v>
      </c>
      <c r="D162" s="53" t="n">
        <v>10.3</v>
      </c>
      <c r="E162" s="53" t="n">
        <v>8.539999999999999</v>
      </c>
      <c r="F162" s="52" t="n">
        <v>192</v>
      </c>
      <c r="G162" s="53" t="n">
        <v>0.46</v>
      </c>
      <c r="H162" s="53" t="n">
        <v>189</v>
      </c>
      <c r="I162" s="53" t="n">
        <v>2.15</v>
      </c>
      <c r="J162" s="52" t="n">
        <v>6</v>
      </c>
    </row>
    <row r="163">
      <c r="A163" s="51" t="n">
        <v>46261</v>
      </c>
      <c r="B163" s="52" t="inlineStr">
        <is>
          <t>CB-17</t>
        </is>
      </c>
      <c r="C163" s="53" t="n">
        <v>136</v>
      </c>
      <c r="D163" s="53" t="n">
        <v>8.300000000000001</v>
      </c>
      <c r="E163" s="53" t="n">
        <v>16.39</v>
      </c>
      <c r="F163" s="52" t="n">
        <v>280</v>
      </c>
      <c r="G163" s="53" t="n">
        <v>0.49</v>
      </c>
      <c r="H163" s="53" t="n">
        <v>289</v>
      </c>
      <c r="I163" s="53" t="n">
        <v>2.12</v>
      </c>
      <c r="J163" s="52" t="n">
        <v>10</v>
      </c>
    </row>
    <row r="164">
      <c r="A164" s="51" t="n">
        <v>46261</v>
      </c>
      <c r="B164" s="52" t="inlineStr">
        <is>
          <t>CB-22</t>
        </is>
      </c>
      <c r="C164" s="53" t="n">
        <v>151</v>
      </c>
      <c r="D164" s="53" t="n">
        <v>8.300000000000001</v>
      </c>
      <c r="E164" s="53" t="n">
        <v>18.19</v>
      </c>
      <c r="F164" s="52" t="n">
        <v>192</v>
      </c>
      <c r="G164" s="53" t="n">
        <v>0.79</v>
      </c>
      <c r="H164" s="53" t="n">
        <v>226</v>
      </c>
      <c r="I164" s="53" t="n">
        <v>1.5</v>
      </c>
      <c r="J164" s="52" t="n">
        <v>6</v>
      </c>
    </row>
    <row r="165">
      <c r="A165" s="51" t="n">
        <v>46261</v>
      </c>
      <c r="B165" s="52" t="inlineStr">
        <is>
          <t>MG-01</t>
        </is>
      </c>
      <c r="C165" s="53" t="n">
        <v>115</v>
      </c>
      <c r="D165" s="53" t="n">
        <v>9.699999999999999</v>
      </c>
      <c r="E165" s="53" t="n">
        <v>11.86</v>
      </c>
      <c r="F165" s="52" t="n">
        <v>0</v>
      </c>
      <c r="G165" s="52" t="n">
        <v>0</v>
      </c>
      <c r="H165" s="52" t="n">
        <v>0</v>
      </c>
      <c r="I165" s="53" t="n">
        <v>0</v>
      </c>
      <c r="J165" s="52" t="n">
        <v>0</v>
      </c>
    </row>
    <row r="166">
      <c r="A166" s="51" t="n">
        <v>46261</v>
      </c>
      <c r="B166" s="52" t="inlineStr">
        <is>
          <t>PC-01</t>
        </is>
      </c>
      <c r="C166" s="53" t="n">
        <v>189</v>
      </c>
      <c r="D166" s="53" t="n">
        <v>10.1</v>
      </c>
      <c r="E166" s="53" t="n">
        <v>18.71</v>
      </c>
      <c r="F166" s="52" t="n">
        <v>0</v>
      </c>
      <c r="G166" s="52" t="n">
        <v>0</v>
      </c>
      <c r="H166" s="52" t="n">
        <v>0</v>
      </c>
      <c r="I166" s="53" t="n">
        <v>0</v>
      </c>
      <c r="J166" s="52" t="n">
        <v>0</v>
      </c>
    </row>
    <row r="167">
      <c r="A167" s="51" t="n">
        <v>46261</v>
      </c>
      <c r="B167" s="52" t="inlineStr">
        <is>
          <t>PC-02</t>
        </is>
      </c>
      <c r="C167" s="53" t="n">
        <v>162</v>
      </c>
      <c r="D167" s="53" t="n">
        <v>8</v>
      </c>
      <c r="E167" s="53" t="n">
        <v>20.25</v>
      </c>
      <c r="F167" s="52" t="n">
        <v>0</v>
      </c>
      <c r="G167" s="52" t="n">
        <v>0</v>
      </c>
      <c r="H167" s="52" t="n">
        <v>0</v>
      </c>
      <c r="I167" s="53" t="n">
        <v>0</v>
      </c>
      <c r="J167" s="52" t="n">
        <v>0</v>
      </c>
    </row>
    <row r="168">
      <c r="A168" s="51" t="n">
        <v>46261</v>
      </c>
      <c r="B168" s="52" t="inlineStr">
        <is>
          <t>RD-01</t>
        </is>
      </c>
      <c r="C168" s="53" t="n">
        <v>112</v>
      </c>
      <c r="D168" s="53" t="n">
        <v>9.5</v>
      </c>
      <c r="E168" s="53" t="n">
        <v>11.79</v>
      </c>
      <c r="F168" s="52" t="n">
        <v>0</v>
      </c>
      <c r="G168" s="52" t="n">
        <v>0</v>
      </c>
      <c r="H168" s="52" t="n">
        <v>0</v>
      </c>
      <c r="I168" s="53" t="n">
        <v>0</v>
      </c>
      <c r="J168" s="52" t="n">
        <v>0</v>
      </c>
    </row>
    <row r="169">
      <c r="A169" s="51" t="n">
        <v>46262</v>
      </c>
      <c r="B169" s="52" t="inlineStr">
        <is>
          <t>CB-01</t>
        </is>
      </c>
      <c r="C169" s="53" t="n">
        <v>81</v>
      </c>
      <c r="D169" s="53" t="n">
        <v>8.6</v>
      </c>
      <c r="E169" s="53" t="n">
        <v>9.42</v>
      </c>
      <c r="F169" s="52" t="n">
        <v>180</v>
      </c>
      <c r="G169" s="53" t="n">
        <v>0.45</v>
      </c>
      <c r="H169" s="53" t="n">
        <v>174</v>
      </c>
      <c r="I169" s="53" t="n">
        <v>2.15</v>
      </c>
      <c r="J169" s="52" t="n">
        <v>6</v>
      </c>
    </row>
    <row r="170">
      <c r="A170" s="51" t="n">
        <v>46262</v>
      </c>
      <c r="B170" s="52" t="inlineStr">
        <is>
          <t>CB-11</t>
        </is>
      </c>
      <c r="C170" s="53" t="n">
        <v>83</v>
      </c>
      <c r="D170" s="53" t="n">
        <v>10</v>
      </c>
      <c r="E170" s="53" t="n">
        <v>8.300000000000001</v>
      </c>
      <c r="F170" s="52" t="n">
        <v>168</v>
      </c>
      <c r="G170" s="53" t="n">
        <v>0.49</v>
      </c>
      <c r="H170" s="53" t="n">
        <v>181</v>
      </c>
      <c r="I170" s="53" t="n">
        <v>2.18</v>
      </c>
      <c r="J170" s="52" t="n">
        <v>6</v>
      </c>
    </row>
    <row r="171">
      <c r="A171" s="51" t="n">
        <v>46262</v>
      </c>
      <c r="B171" s="52" t="inlineStr">
        <is>
          <t>CB-17</t>
        </is>
      </c>
      <c r="C171" s="53" t="n">
        <v>133</v>
      </c>
      <c r="D171" s="53" t="n">
        <v>8.4</v>
      </c>
      <c r="E171" s="53" t="n">
        <v>15.83</v>
      </c>
      <c r="F171" s="52" t="n">
        <v>280</v>
      </c>
      <c r="G171" s="53" t="n">
        <v>0.47</v>
      </c>
      <c r="H171" s="53" t="n">
        <v>293</v>
      </c>
      <c r="I171" s="53" t="n">
        <v>2.2</v>
      </c>
      <c r="J171" s="52" t="n">
        <v>10</v>
      </c>
    </row>
    <row r="172">
      <c r="A172" s="51" t="n">
        <v>46262</v>
      </c>
      <c r="B172" s="52" t="inlineStr">
        <is>
          <t>CB-22</t>
        </is>
      </c>
      <c r="C172" s="53" t="n">
        <v>247</v>
      </c>
      <c r="D172" s="53" t="n">
        <v>9.300000000000001</v>
      </c>
      <c r="E172" s="53" t="n">
        <v>26.56</v>
      </c>
      <c r="F172" s="52" t="n">
        <v>300</v>
      </c>
      <c r="G172" s="53" t="n">
        <v>0.82</v>
      </c>
      <c r="H172" s="53" t="n">
        <v>384</v>
      </c>
      <c r="I172" s="53" t="n">
        <v>1.55</v>
      </c>
      <c r="J172" s="52" t="n">
        <v>10</v>
      </c>
    </row>
    <row r="173">
      <c r="A173" s="51" t="n">
        <v>46262</v>
      </c>
      <c r="B173" s="52" t="inlineStr">
        <is>
          <t>MG-01</t>
        </is>
      </c>
      <c r="C173" s="53" t="n">
        <v>103</v>
      </c>
      <c r="D173" s="53" t="n">
        <v>8.800000000000001</v>
      </c>
      <c r="E173" s="53" t="n">
        <v>11.7</v>
      </c>
      <c r="F173" s="52" t="n">
        <v>0</v>
      </c>
      <c r="G173" s="52" t="n">
        <v>0</v>
      </c>
      <c r="H173" s="52" t="n">
        <v>0</v>
      </c>
      <c r="I173" s="53" t="n">
        <v>0</v>
      </c>
      <c r="J173" s="52" t="n">
        <v>0</v>
      </c>
    </row>
    <row r="174">
      <c r="A174" s="51" t="n">
        <v>46262</v>
      </c>
      <c r="B174" s="52" t="inlineStr">
        <is>
          <t>PC-01</t>
        </is>
      </c>
      <c r="C174" s="53" t="n">
        <v>148</v>
      </c>
      <c r="D174" s="53" t="n">
        <v>8.300000000000001</v>
      </c>
      <c r="E174" s="53" t="n">
        <v>17.83</v>
      </c>
      <c r="F174" s="52" t="n">
        <v>0</v>
      </c>
      <c r="G174" s="52" t="n">
        <v>0</v>
      </c>
      <c r="H174" s="52" t="n">
        <v>0</v>
      </c>
      <c r="I174" s="53" t="n">
        <v>0</v>
      </c>
      <c r="J174" s="52" t="n">
        <v>0</v>
      </c>
    </row>
    <row r="175">
      <c r="A175" s="51" t="n">
        <v>46262</v>
      </c>
      <c r="B175" s="52" t="inlineStr">
        <is>
          <t>PC-02</t>
        </is>
      </c>
      <c r="C175" s="53" t="n">
        <v>184</v>
      </c>
      <c r="D175" s="53" t="n">
        <v>9.5</v>
      </c>
      <c r="E175" s="53" t="n">
        <v>19.37</v>
      </c>
      <c r="F175" s="52" t="n">
        <v>0</v>
      </c>
      <c r="G175" s="52" t="n">
        <v>0</v>
      </c>
      <c r="H175" s="52" t="n">
        <v>0</v>
      </c>
      <c r="I175" s="53" t="n">
        <v>0</v>
      </c>
      <c r="J175" s="52" t="n">
        <v>0</v>
      </c>
    </row>
    <row r="176">
      <c r="A176" s="51" t="n">
        <v>46262</v>
      </c>
      <c r="B176" s="52" t="inlineStr">
        <is>
          <t>RD-01</t>
        </is>
      </c>
      <c r="C176" s="53" t="n">
        <v>101</v>
      </c>
      <c r="D176" s="53" t="n">
        <v>7.9</v>
      </c>
      <c r="E176" s="53" t="n">
        <v>12.78</v>
      </c>
      <c r="F176" s="52" t="n">
        <v>0</v>
      </c>
      <c r="G176" s="52" t="n">
        <v>0</v>
      </c>
      <c r="H176" s="52" t="n">
        <v>0</v>
      </c>
      <c r="I176" s="53" t="n">
        <v>0</v>
      </c>
      <c r="J176" s="52" t="n">
        <v>0</v>
      </c>
    </row>
    <row r="177">
      <c r="A177" s="51" t="n">
        <v>46263</v>
      </c>
      <c r="B177" s="52" t="inlineStr">
        <is>
          <t>CB-01</t>
        </is>
      </c>
      <c r="C177" s="53" t="n">
        <v>153</v>
      </c>
      <c r="D177" s="53" t="n">
        <v>9.800000000000001</v>
      </c>
      <c r="E177" s="53" t="n">
        <v>15.61</v>
      </c>
      <c r="F177" s="52" t="n">
        <v>308</v>
      </c>
      <c r="G177" s="53" t="n">
        <v>0.5</v>
      </c>
      <c r="H177" s="53" t="n">
        <v>326</v>
      </c>
      <c r="I177" s="53" t="n">
        <v>2.13</v>
      </c>
      <c r="J177" s="52" t="n">
        <v>11</v>
      </c>
    </row>
    <row r="178">
      <c r="A178" s="51" t="n">
        <v>46263</v>
      </c>
      <c r="B178" s="52" t="inlineStr">
        <is>
          <t>CB-11</t>
        </is>
      </c>
      <c r="C178" s="53" t="n">
        <v>117</v>
      </c>
      <c r="D178" s="53" t="n">
        <v>10.2</v>
      </c>
      <c r="E178" s="53" t="n">
        <v>11.47</v>
      </c>
      <c r="F178" s="52" t="n">
        <v>256</v>
      </c>
      <c r="G178" s="53" t="n">
        <v>0.46</v>
      </c>
      <c r="H178" s="53" t="n">
        <v>256</v>
      </c>
      <c r="I178" s="53" t="n">
        <v>2.19</v>
      </c>
      <c r="J178" s="52" t="n">
        <v>8</v>
      </c>
    </row>
    <row r="179">
      <c r="A179" s="51" t="n">
        <v>46263</v>
      </c>
      <c r="B179" s="52" t="inlineStr">
        <is>
          <t>CB-17</t>
        </is>
      </c>
      <c r="C179" s="53" t="n">
        <v>112</v>
      </c>
      <c r="D179" s="53" t="n">
        <v>8.699999999999999</v>
      </c>
      <c r="E179" s="53" t="n">
        <v>12.87</v>
      </c>
      <c r="F179" s="52" t="n">
        <v>224</v>
      </c>
      <c r="G179" s="53" t="n">
        <v>0.5</v>
      </c>
      <c r="H179" s="53" t="n">
        <v>235</v>
      </c>
      <c r="I179" s="53" t="n">
        <v>2.1</v>
      </c>
      <c r="J179" s="52" t="n">
        <v>7</v>
      </c>
    </row>
    <row r="180">
      <c r="A180" s="51" t="n">
        <v>46263</v>
      </c>
      <c r="B180" s="52" t="inlineStr">
        <is>
          <t>CB-22</t>
        </is>
      </c>
      <c r="C180" s="53" t="n">
        <v>156</v>
      </c>
      <c r="D180" s="53" t="n">
        <v>10.2</v>
      </c>
      <c r="E180" s="53" t="n">
        <v>15.29</v>
      </c>
      <c r="F180" s="52" t="n">
        <v>196</v>
      </c>
      <c r="G180" s="53" t="n">
        <v>0.8</v>
      </c>
      <c r="H180" s="53" t="n">
        <v>230</v>
      </c>
      <c r="I180" s="53" t="n">
        <v>1.47</v>
      </c>
      <c r="J180" s="52" t="n">
        <v>7</v>
      </c>
    </row>
    <row r="181">
      <c r="A181" s="51" t="n">
        <v>46263</v>
      </c>
      <c r="B181" s="52" t="inlineStr">
        <is>
          <t>MG-01</t>
        </is>
      </c>
      <c r="C181" s="53" t="n">
        <v>109</v>
      </c>
      <c r="D181" s="53" t="n">
        <v>9.199999999999999</v>
      </c>
      <c r="E181" s="53" t="n">
        <v>11.85</v>
      </c>
      <c r="F181" s="52" t="n">
        <v>0</v>
      </c>
      <c r="G181" s="52" t="n">
        <v>0</v>
      </c>
      <c r="H181" s="52" t="n">
        <v>0</v>
      </c>
      <c r="I181" s="53" t="n">
        <v>0</v>
      </c>
      <c r="J181" s="52" t="n">
        <v>0</v>
      </c>
    </row>
    <row r="182">
      <c r="A182" s="51" t="n">
        <v>46263</v>
      </c>
      <c r="B182" s="52" t="inlineStr">
        <is>
          <t>PC-01</t>
        </is>
      </c>
      <c r="C182" s="53" t="n">
        <v>165</v>
      </c>
      <c r="D182" s="53" t="n">
        <v>8.4</v>
      </c>
      <c r="E182" s="53" t="n">
        <v>19.64</v>
      </c>
      <c r="F182" s="52" t="n">
        <v>0</v>
      </c>
      <c r="G182" s="52" t="n">
        <v>0</v>
      </c>
      <c r="H182" s="52" t="n">
        <v>0</v>
      </c>
      <c r="I182" s="53" t="n">
        <v>0</v>
      </c>
      <c r="J182" s="52" t="n">
        <v>0</v>
      </c>
    </row>
    <row r="183">
      <c r="A183" s="51" t="n">
        <v>46263</v>
      </c>
      <c r="B183" s="52" t="inlineStr">
        <is>
          <t>PC-02</t>
        </is>
      </c>
      <c r="C183" s="53" t="n">
        <v>191</v>
      </c>
      <c r="D183" s="53" t="n">
        <v>10.4</v>
      </c>
      <c r="E183" s="53" t="n">
        <v>18.37</v>
      </c>
      <c r="F183" s="52" t="n">
        <v>0</v>
      </c>
      <c r="G183" s="52" t="n">
        <v>0</v>
      </c>
      <c r="H183" s="52" t="n">
        <v>0</v>
      </c>
      <c r="I183" s="53" t="n">
        <v>0</v>
      </c>
      <c r="J183" s="52" t="n">
        <v>0</v>
      </c>
    </row>
    <row r="184">
      <c r="A184" s="51" t="n">
        <v>46263</v>
      </c>
      <c r="B184" s="52" t="inlineStr">
        <is>
          <t>RD-01</t>
        </is>
      </c>
      <c r="C184" s="53" t="n">
        <v>111</v>
      </c>
      <c r="D184" s="53" t="n">
        <v>9.5</v>
      </c>
      <c r="E184" s="53" t="n">
        <v>11.68</v>
      </c>
      <c r="F184" s="52" t="n">
        <v>0</v>
      </c>
      <c r="G184" s="52" t="n">
        <v>0</v>
      </c>
      <c r="H184" s="52" t="n">
        <v>0</v>
      </c>
      <c r="I184" s="53" t="n">
        <v>0</v>
      </c>
      <c r="J184" s="52" t="n">
        <v>0</v>
      </c>
    </row>
    <row r="185">
      <c r="A185" s="51" t="n">
        <v>46265</v>
      </c>
      <c r="B185" s="52" t="inlineStr">
        <is>
          <t>CB-01</t>
        </is>
      </c>
      <c r="C185" s="53" t="n">
        <v>91</v>
      </c>
      <c r="D185" s="53" t="n">
        <v>8</v>
      </c>
      <c r="E185" s="53" t="n">
        <v>11.38</v>
      </c>
      <c r="F185" s="52" t="n">
        <v>196</v>
      </c>
      <c r="G185" s="53" t="n">
        <v>0.46</v>
      </c>
      <c r="H185" s="53" t="n">
        <v>199</v>
      </c>
      <c r="I185" s="53" t="n">
        <v>2.19</v>
      </c>
      <c r="J185" s="52" t="n">
        <v>7</v>
      </c>
    </row>
    <row r="186">
      <c r="A186" s="51" t="n">
        <v>46265</v>
      </c>
      <c r="B186" s="52" t="inlineStr">
        <is>
          <t>CB-11</t>
        </is>
      </c>
      <c r="C186" s="53" t="n">
        <v>121</v>
      </c>
      <c r="D186" s="53" t="n">
        <v>9</v>
      </c>
      <c r="E186" s="53" t="n">
        <v>13.44</v>
      </c>
      <c r="F186" s="52" t="n">
        <v>240</v>
      </c>
      <c r="G186" s="53" t="n">
        <v>0.5</v>
      </c>
      <c r="H186" s="53" t="n">
        <v>267</v>
      </c>
      <c r="I186" s="53" t="n">
        <v>2.21</v>
      </c>
      <c r="J186" s="52" t="n">
        <v>8</v>
      </c>
    </row>
    <row r="187">
      <c r="A187" s="51" t="n">
        <v>46265</v>
      </c>
      <c r="B187" s="52" t="inlineStr">
        <is>
          <t>CB-17</t>
        </is>
      </c>
      <c r="C187" s="53" t="n">
        <v>104</v>
      </c>
      <c r="D187" s="53" t="n">
        <v>8.800000000000001</v>
      </c>
      <c r="E187" s="53" t="n">
        <v>11.82</v>
      </c>
      <c r="F187" s="52" t="n">
        <v>224</v>
      </c>
      <c r="G187" s="53" t="n">
        <v>0.46</v>
      </c>
      <c r="H187" s="53" t="n">
        <v>209</v>
      </c>
      <c r="I187" s="53" t="n">
        <v>2.01</v>
      </c>
      <c r="J187" s="52" t="n">
        <v>7</v>
      </c>
    </row>
    <row r="188">
      <c r="A188" s="51" t="n">
        <v>46265</v>
      </c>
      <c r="B188" s="52" t="inlineStr">
        <is>
          <t>MG-01</t>
        </is>
      </c>
      <c r="C188" s="53" t="n">
        <v>115</v>
      </c>
      <c r="D188" s="53" t="n">
        <v>9.699999999999999</v>
      </c>
      <c r="E188" s="53" t="n">
        <v>11.86</v>
      </c>
      <c r="F188" s="52" t="n">
        <v>0</v>
      </c>
      <c r="G188" s="52" t="n">
        <v>0</v>
      </c>
      <c r="H188" s="52" t="n">
        <v>0</v>
      </c>
      <c r="I188" s="53" t="n">
        <v>0</v>
      </c>
      <c r="J188" s="52" t="n">
        <v>0</v>
      </c>
    </row>
    <row r="189">
      <c r="A189" s="51" t="n">
        <v>46265</v>
      </c>
      <c r="B189" s="52" t="inlineStr">
        <is>
          <t>PC-01</t>
        </is>
      </c>
      <c r="C189" s="53" t="n">
        <v>152</v>
      </c>
      <c r="D189" s="53" t="n">
        <v>8.5</v>
      </c>
      <c r="E189" s="53" t="n">
        <v>17.88</v>
      </c>
      <c r="F189" s="52" t="n">
        <v>0</v>
      </c>
      <c r="G189" s="52" t="n">
        <v>0</v>
      </c>
      <c r="H189" s="52" t="n">
        <v>0</v>
      </c>
      <c r="I189" s="53" t="n">
        <v>0</v>
      </c>
      <c r="J189" s="52" t="n">
        <v>0</v>
      </c>
    </row>
    <row r="190">
      <c r="A190" s="51" t="n">
        <v>46265</v>
      </c>
      <c r="B190" s="52" t="inlineStr">
        <is>
          <t>PC-02</t>
        </is>
      </c>
      <c r="C190" s="53" t="n">
        <v>151</v>
      </c>
      <c r="D190" s="53" t="n">
        <v>8.199999999999999</v>
      </c>
      <c r="E190" s="53" t="n">
        <v>18.41</v>
      </c>
      <c r="F190" s="52" t="n">
        <v>0</v>
      </c>
      <c r="G190" s="52" t="n">
        <v>0</v>
      </c>
      <c r="H190" s="52" t="n">
        <v>0</v>
      </c>
      <c r="I190" s="53" t="n">
        <v>0</v>
      </c>
      <c r="J190" s="52" t="n">
        <v>0</v>
      </c>
    </row>
    <row r="191">
      <c r="A191" s="51" t="n">
        <v>46265</v>
      </c>
      <c r="B191" s="52" t="inlineStr">
        <is>
          <t>RD-01</t>
        </is>
      </c>
      <c r="C191" s="53" t="n">
        <v>116</v>
      </c>
      <c r="D191" s="53" t="n">
        <v>9.199999999999999</v>
      </c>
      <c r="E191" s="53" t="n">
        <v>12.61</v>
      </c>
      <c r="F191" s="52" t="n">
        <v>0</v>
      </c>
      <c r="G191" s="52" t="n">
        <v>0</v>
      </c>
      <c r="H191" s="52" t="n">
        <v>0</v>
      </c>
      <c r="I191" s="53" t="n">
        <v>0</v>
      </c>
      <c r="J191" s="52" t="n">
        <v>0</v>
      </c>
    </row>
    <row r="192">
      <c r="A192" s="51" t="n">
        <v>46266</v>
      </c>
      <c r="B192" s="52" t="inlineStr">
        <is>
          <t>CB-01</t>
        </is>
      </c>
      <c r="C192" s="53" t="n">
        <v>112</v>
      </c>
      <c r="D192" s="53" t="n">
        <v>8.699999999999999</v>
      </c>
      <c r="E192" s="53" t="n">
        <v>12.87</v>
      </c>
      <c r="F192" s="52" t="n">
        <v>240</v>
      </c>
      <c r="G192" s="53" t="n">
        <v>0.47</v>
      </c>
      <c r="H192" s="53" t="n">
        <v>241</v>
      </c>
      <c r="I192" s="53" t="n">
        <v>2.15</v>
      </c>
      <c r="J192" s="52" t="n">
        <v>8</v>
      </c>
    </row>
    <row r="193">
      <c r="A193" s="51" t="n">
        <v>46266</v>
      </c>
      <c r="B193" s="52" t="inlineStr">
        <is>
          <t>CB-11</t>
        </is>
      </c>
      <c r="C193" s="53" t="n">
        <v>137</v>
      </c>
      <c r="D193" s="53" t="n">
        <v>9</v>
      </c>
      <c r="E193" s="53" t="n">
        <v>15.22</v>
      </c>
      <c r="F193" s="52" t="n">
        <v>280</v>
      </c>
      <c r="G193" s="53" t="n">
        <v>0.49</v>
      </c>
      <c r="H193" s="53" t="n">
        <v>289</v>
      </c>
      <c r="I193" s="53" t="n">
        <v>2.11</v>
      </c>
      <c r="J193" s="52" t="n">
        <v>10</v>
      </c>
    </row>
    <row r="194">
      <c r="A194" s="51" t="n">
        <v>46266</v>
      </c>
      <c r="B194" s="52" t="inlineStr">
        <is>
          <t>CB-17</t>
        </is>
      </c>
      <c r="C194" s="53" t="n">
        <v>105</v>
      </c>
      <c r="D194" s="53" t="n">
        <v>9.9</v>
      </c>
      <c r="E194" s="53" t="n">
        <v>10.61</v>
      </c>
      <c r="F194" s="52" t="n">
        <v>224</v>
      </c>
      <c r="G194" s="53" t="n">
        <v>0.47</v>
      </c>
      <c r="H194" s="53" t="n">
        <v>215</v>
      </c>
      <c r="I194" s="53" t="n">
        <v>2.05</v>
      </c>
      <c r="J194" s="52" t="n">
        <v>8</v>
      </c>
    </row>
    <row r="195">
      <c r="A195" s="51" t="n">
        <v>46266</v>
      </c>
      <c r="B195" s="52" t="inlineStr">
        <is>
          <t>CB-22</t>
        </is>
      </c>
      <c r="C195" s="53" t="n">
        <v>304</v>
      </c>
      <c r="D195" s="53" t="n">
        <v>8.699999999999999</v>
      </c>
      <c r="E195" s="53" t="n">
        <v>34.94</v>
      </c>
      <c r="F195" s="52" t="n">
        <v>360</v>
      </c>
      <c r="G195" s="53" t="n">
        <v>0.84</v>
      </c>
      <c r="H195" s="53" t="n">
        <v>472</v>
      </c>
      <c r="I195" s="53" t="n">
        <v>1.55</v>
      </c>
      <c r="J195" s="52" t="n">
        <v>12</v>
      </c>
    </row>
    <row r="196">
      <c r="A196" s="51" t="n">
        <v>46266</v>
      </c>
      <c r="B196" s="52" t="inlineStr">
        <is>
          <t>MG-01</t>
        </is>
      </c>
      <c r="C196" s="53" t="n">
        <v>104</v>
      </c>
      <c r="D196" s="53" t="n">
        <v>9.300000000000001</v>
      </c>
      <c r="E196" s="53" t="n">
        <v>11.18</v>
      </c>
      <c r="F196" s="52" t="n">
        <v>0</v>
      </c>
      <c r="G196" s="52" t="n">
        <v>0</v>
      </c>
      <c r="H196" s="52" t="n">
        <v>0</v>
      </c>
      <c r="I196" s="53" t="n">
        <v>0</v>
      </c>
      <c r="J196" s="52" t="n">
        <v>0</v>
      </c>
    </row>
    <row r="197">
      <c r="A197" s="51" t="n">
        <v>46266</v>
      </c>
      <c r="B197" s="52" t="inlineStr">
        <is>
          <t>PC-01</t>
        </is>
      </c>
      <c r="C197" s="53" t="n">
        <v>179</v>
      </c>
      <c r="D197" s="53" t="n">
        <v>10.1</v>
      </c>
      <c r="E197" s="53" t="n">
        <v>17.72</v>
      </c>
      <c r="F197" s="52" t="n">
        <v>0</v>
      </c>
      <c r="G197" s="52" t="n">
        <v>0</v>
      </c>
      <c r="H197" s="52" t="n">
        <v>0</v>
      </c>
      <c r="I197" s="53" t="n">
        <v>0</v>
      </c>
      <c r="J197" s="52" t="n">
        <v>0</v>
      </c>
    </row>
    <row r="198">
      <c r="A198" s="51" t="n">
        <v>46266</v>
      </c>
      <c r="B198" s="52" t="inlineStr">
        <is>
          <t>PC-02</t>
        </is>
      </c>
      <c r="C198" s="53" t="n">
        <v>149</v>
      </c>
      <c r="D198" s="53" t="n">
        <v>7.6</v>
      </c>
      <c r="E198" s="53" t="n">
        <v>19.61</v>
      </c>
      <c r="F198" s="52" t="n">
        <v>0</v>
      </c>
      <c r="G198" s="52" t="n">
        <v>0</v>
      </c>
      <c r="H198" s="52" t="n">
        <v>0</v>
      </c>
      <c r="I198" s="53" t="n">
        <v>0</v>
      </c>
      <c r="J198" s="52" t="n">
        <v>0</v>
      </c>
    </row>
    <row r="199">
      <c r="A199" s="51" t="n">
        <v>46266</v>
      </c>
      <c r="B199" s="52" t="inlineStr">
        <is>
          <t>RD-01</t>
        </is>
      </c>
      <c r="C199" s="53" t="n">
        <v>122</v>
      </c>
      <c r="D199" s="53" t="n">
        <v>10.2</v>
      </c>
      <c r="E199" s="53" t="n">
        <v>11.96</v>
      </c>
      <c r="F199" s="52" t="n">
        <v>0</v>
      </c>
      <c r="G199" s="52" t="n">
        <v>0</v>
      </c>
      <c r="H199" s="52" t="n">
        <v>0</v>
      </c>
      <c r="I199" s="53" t="n">
        <v>0</v>
      </c>
      <c r="J199" s="52" t="n">
        <v>0</v>
      </c>
    </row>
    <row r="200">
      <c r="A200" s="51" t="n">
        <v>46267</v>
      </c>
      <c r="B200" s="52" t="inlineStr">
        <is>
          <t>CB-01</t>
        </is>
      </c>
      <c r="C200" s="53" t="n">
        <v>168</v>
      </c>
      <c r="D200" s="53" t="n">
        <v>8.699999999999999</v>
      </c>
      <c r="E200" s="53" t="n">
        <v>19.31</v>
      </c>
      <c r="F200" s="52" t="n">
        <v>360</v>
      </c>
      <c r="G200" s="53" t="n">
        <v>0.47</v>
      </c>
      <c r="H200" s="53" t="n">
        <v>339</v>
      </c>
      <c r="I200" s="53" t="n">
        <v>2.02</v>
      </c>
      <c r="J200" s="52" t="n">
        <v>12</v>
      </c>
    </row>
    <row r="201">
      <c r="A201" s="51" t="n">
        <v>46267</v>
      </c>
      <c r="B201" s="52" t="inlineStr">
        <is>
          <t>CB-11</t>
        </is>
      </c>
      <c r="C201" s="53" t="n">
        <v>94</v>
      </c>
      <c r="D201" s="53" t="n">
        <v>8</v>
      </c>
      <c r="E201" s="53" t="n">
        <v>11.75</v>
      </c>
      <c r="F201" s="52" t="n">
        <v>192</v>
      </c>
      <c r="G201" s="53" t="n">
        <v>0.49</v>
      </c>
      <c r="H201" s="53" t="n">
        <v>204</v>
      </c>
      <c r="I201" s="53" t="n">
        <v>2.17</v>
      </c>
      <c r="J201" s="52" t="n">
        <v>6</v>
      </c>
    </row>
    <row r="202">
      <c r="A202" s="51" t="n">
        <v>46267</v>
      </c>
      <c r="B202" s="52" t="inlineStr">
        <is>
          <t>CB-17</t>
        </is>
      </c>
      <c r="C202" s="53" t="n">
        <v>95</v>
      </c>
      <c r="D202" s="53" t="n">
        <v>10.2</v>
      </c>
      <c r="E202" s="53" t="n">
        <v>9.31</v>
      </c>
      <c r="F202" s="52" t="n">
        <v>192</v>
      </c>
      <c r="G202" s="53" t="n">
        <v>0.49</v>
      </c>
      <c r="H202" s="53" t="n">
        <v>190</v>
      </c>
      <c r="I202" s="53" t="n">
        <v>2</v>
      </c>
      <c r="J202" s="52" t="n">
        <v>6</v>
      </c>
    </row>
    <row r="203">
      <c r="A203" s="51" t="n">
        <v>46267</v>
      </c>
      <c r="B203" s="52" t="inlineStr">
        <is>
          <t>CB-22</t>
        </is>
      </c>
      <c r="C203" s="53" t="n">
        <v>131</v>
      </c>
      <c r="D203" s="53" t="n">
        <v>7.9</v>
      </c>
      <c r="E203" s="53" t="n">
        <v>16.58</v>
      </c>
      <c r="F203" s="52" t="n">
        <v>160</v>
      </c>
      <c r="G203" s="53" t="n">
        <v>0.82</v>
      </c>
      <c r="H203" s="53" t="n">
        <v>206</v>
      </c>
      <c r="I203" s="53" t="n">
        <v>1.57</v>
      </c>
      <c r="J203" s="52" t="n">
        <v>5</v>
      </c>
    </row>
    <row r="204">
      <c r="A204" s="51" t="n">
        <v>46267</v>
      </c>
      <c r="B204" s="52" t="inlineStr">
        <is>
          <t>MG-01</t>
        </is>
      </c>
      <c r="C204" s="53" t="n">
        <v>118</v>
      </c>
      <c r="D204" s="53" t="n">
        <v>10.3</v>
      </c>
      <c r="E204" s="53" t="n">
        <v>11.46</v>
      </c>
      <c r="F204" s="52" t="n">
        <v>0</v>
      </c>
      <c r="G204" s="52" t="n">
        <v>0</v>
      </c>
      <c r="H204" s="52" t="n">
        <v>0</v>
      </c>
      <c r="I204" s="53" t="n">
        <v>0</v>
      </c>
      <c r="J204" s="52" t="n">
        <v>0</v>
      </c>
    </row>
    <row r="205">
      <c r="A205" s="51" t="n">
        <v>46267</v>
      </c>
      <c r="B205" s="52" t="inlineStr">
        <is>
          <t>PC-01</t>
        </is>
      </c>
      <c r="C205" s="53" t="n">
        <v>179</v>
      </c>
      <c r="D205" s="53" t="n">
        <v>9.4</v>
      </c>
      <c r="E205" s="53" t="n">
        <v>19.04</v>
      </c>
      <c r="F205" s="52" t="n">
        <v>0</v>
      </c>
      <c r="G205" s="52" t="n">
        <v>0</v>
      </c>
      <c r="H205" s="52" t="n">
        <v>0</v>
      </c>
      <c r="I205" s="53" t="n">
        <v>0</v>
      </c>
      <c r="J205" s="52" t="n">
        <v>0</v>
      </c>
    </row>
    <row r="206">
      <c r="A206" s="51" t="n">
        <v>46267</v>
      </c>
      <c r="B206" s="52" t="inlineStr">
        <is>
          <t>PC-02</t>
        </is>
      </c>
      <c r="C206" s="53" t="n">
        <v>173</v>
      </c>
      <c r="D206" s="53" t="n">
        <v>8.800000000000001</v>
      </c>
      <c r="E206" s="53" t="n">
        <v>19.66</v>
      </c>
      <c r="F206" s="52" t="n">
        <v>0</v>
      </c>
      <c r="G206" s="52" t="n">
        <v>0</v>
      </c>
      <c r="H206" s="52" t="n">
        <v>0</v>
      </c>
      <c r="I206" s="53" t="n">
        <v>0</v>
      </c>
      <c r="J206" s="52" t="n">
        <v>0</v>
      </c>
    </row>
    <row r="207">
      <c r="A207" s="51" t="n">
        <v>46267</v>
      </c>
      <c r="B207" s="52" t="inlineStr">
        <is>
          <t>RD-01</t>
        </is>
      </c>
      <c r="C207" s="53" t="n">
        <v>91</v>
      </c>
      <c r="D207" s="53" t="n">
        <v>7.8</v>
      </c>
      <c r="E207" s="53" t="n">
        <v>11.67</v>
      </c>
      <c r="F207" s="52" t="n">
        <v>0</v>
      </c>
      <c r="G207" s="52" t="n">
        <v>0</v>
      </c>
      <c r="H207" s="52" t="n">
        <v>0</v>
      </c>
      <c r="I207" s="53" t="n">
        <v>0</v>
      </c>
      <c r="J207" s="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4A3B8"/>
    <outlinePr summaryBelow="1" summaryRight="1"/>
    <pageSetUpPr/>
  </sheetPr>
  <dimension ref="A1:I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10" customWidth="1" min="5" max="5"/>
    <col width="9" customWidth="1" min="6" max="6"/>
    <col width="12" customWidth="1" min="7" max="7"/>
    <col width="9" customWidth="1" min="8" max="8"/>
    <col width="10" customWidth="1" min="9" max="9"/>
  </cols>
  <sheetData>
    <row r="1">
      <c r="A1" s="50" t="inlineStr">
        <is>
          <t>Resumo por Operador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Data</t>
        </is>
      </c>
      <c r="B3" s="30" t="inlineStr">
        <is>
          <t>Operador</t>
        </is>
      </c>
      <c r="C3" s="30" t="inlineStr">
        <is>
          <t>Equipamentos</t>
        </is>
      </c>
      <c r="D3" s="30" t="inlineStr">
        <is>
          <t>Consumo (L)</t>
        </is>
      </c>
      <c r="E3" s="30" t="inlineStr">
        <is>
          <t>Horas</t>
        </is>
      </c>
      <c r="F3" s="30" t="inlineStr">
        <is>
          <t>L/h</t>
        </is>
      </c>
      <c r="G3" s="30" t="inlineStr">
        <is>
          <t>Produção (t)</t>
        </is>
      </c>
      <c r="H3" s="30" t="inlineStr">
        <is>
          <t>L/Ton</t>
        </is>
      </c>
      <c r="I3" s="30" t="inlineStr">
        <is>
          <t>Viagens</t>
        </is>
      </c>
    </row>
    <row r="4">
      <c r="A4" s="51" t="n">
        <v>46238</v>
      </c>
      <c r="B4" s="52" t="inlineStr">
        <is>
          <t>Antônio</t>
        </is>
      </c>
      <c r="C4" s="52" t="inlineStr">
        <is>
          <t>CB-11, RD-01</t>
        </is>
      </c>
      <c r="D4" s="53" t="n">
        <v>250</v>
      </c>
      <c r="E4" s="53" t="n">
        <v>18.3</v>
      </c>
      <c r="F4" s="53" t="n">
        <v>13.66</v>
      </c>
      <c r="G4" s="52" t="n">
        <v>320</v>
      </c>
      <c r="H4" s="53" t="n">
        <v>0.78</v>
      </c>
      <c r="I4" s="52" t="n">
        <v>10</v>
      </c>
    </row>
    <row r="5">
      <c r="A5" s="51" t="n">
        <v>46238</v>
      </c>
      <c r="B5" s="52" t="inlineStr">
        <is>
          <t>Carlos</t>
        </is>
      </c>
      <c r="C5" s="52" t="inlineStr">
        <is>
          <t>CB-01, PC-02</t>
        </is>
      </c>
      <c r="D5" s="53" t="n">
        <v>242</v>
      </c>
      <c r="E5" s="53" t="n">
        <v>16.1</v>
      </c>
      <c r="F5" s="53" t="n">
        <v>15.03</v>
      </c>
      <c r="G5" s="52" t="n">
        <v>210</v>
      </c>
      <c r="H5" s="53" t="n">
        <v>1.15</v>
      </c>
      <c r="I5" s="52" t="n">
        <v>7</v>
      </c>
    </row>
    <row r="6">
      <c r="A6" s="51" t="n">
        <v>46238</v>
      </c>
      <c r="B6" s="52" t="inlineStr">
        <is>
          <t>José</t>
        </is>
      </c>
      <c r="C6" s="52" t="inlineStr">
        <is>
          <t>PC-01</t>
        </is>
      </c>
      <c r="D6" s="53" t="n">
        <v>148</v>
      </c>
      <c r="E6" s="53" t="n">
        <v>7.7</v>
      </c>
      <c r="F6" s="53" t="n">
        <v>19.22</v>
      </c>
      <c r="G6" s="52" t="n">
        <v>0</v>
      </c>
      <c r="H6" s="52" t="n">
        <v>0</v>
      </c>
      <c r="I6" s="52" t="n">
        <v>0</v>
      </c>
    </row>
    <row r="7">
      <c r="A7" s="51" t="n">
        <v>46238</v>
      </c>
      <c r="B7" s="52" t="inlineStr">
        <is>
          <t>Marcos</t>
        </is>
      </c>
      <c r="C7" s="52" t="inlineStr">
        <is>
          <t>CB-17, MG-01</t>
        </is>
      </c>
      <c r="D7" s="53" t="n">
        <v>256</v>
      </c>
      <c r="E7" s="53" t="n">
        <v>16.4</v>
      </c>
      <c r="F7" s="53" t="n">
        <v>15.61</v>
      </c>
      <c r="G7" s="52" t="n">
        <v>330</v>
      </c>
      <c r="H7" s="53" t="n">
        <v>0.78</v>
      </c>
      <c r="I7" s="52" t="n">
        <v>11</v>
      </c>
    </row>
    <row r="8">
      <c r="A8" s="51" t="n">
        <v>46238</v>
      </c>
      <c r="B8" s="52" t="inlineStr">
        <is>
          <t>Saulo</t>
        </is>
      </c>
      <c r="C8" s="52" t="inlineStr">
        <is>
          <t>CB-22</t>
        </is>
      </c>
      <c r="D8" s="53" t="n">
        <v>137</v>
      </c>
      <c r="E8" s="53" t="n">
        <v>8.800000000000001</v>
      </c>
      <c r="F8" s="53" t="n">
        <v>15.57</v>
      </c>
      <c r="G8" s="52" t="n">
        <v>168</v>
      </c>
      <c r="H8" s="53" t="n">
        <v>0.82</v>
      </c>
      <c r="I8" s="52" t="n">
        <v>6</v>
      </c>
    </row>
    <row r="9">
      <c r="A9" s="51" t="n">
        <v>46239</v>
      </c>
      <c r="B9" s="52" t="inlineStr">
        <is>
          <t>Antônio</t>
        </is>
      </c>
      <c r="C9" s="52" t="inlineStr">
        <is>
          <t>CB-01, PC-02</t>
        </is>
      </c>
      <c r="D9" s="53" t="n">
        <v>293</v>
      </c>
      <c r="E9" s="53" t="n">
        <v>19.3</v>
      </c>
      <c r="F9" s="53" t="n">
        <v>15.18</v>
      </c>
      <c r="G9" s="52" t="n">
        <v>196</v>
      </c>
      <c r="H9" s="53" t="n">
        <v>1.49</v>
      </c>
      <c r="I9" s="52" t="n">
        <v>7</v>
      </c>
    </row>
    <row r="10">
      <c r="A10" s="51" t="n">
        <v>46239</v>
      </c>
      <c r="B10" s="52" t="inlineStr">
        <is>
          <t>Carlos</t>
        </is>
      </c>
      <c r="C10" s="52" t="inlineStr">
        <is>
          <t>PC-01</t>
        </is>
      </c>
      <c r="D10" s="53" t="n">
        <v>175</v>
      </c>
      <c r="E10" s="53" t="n">
        <v>9.199999999999999</v>
      </c>
      <c r="F10" s="53" t="n">
        <v>19.02</v>
      </c>
      <c r="G10" s="52" t="n">
        <v>0</v>
      </c>
      <c r="H10" s="52" t="n">
        <v>0</v>
      </c>
      <c r="I10" s="52" t="n">
        <v>0</v>
      </c>
    </row>
    <row r="11">
      <c r="A11" s="51" t="n">
        <v>46239</v>
      </c>
      <c r="B11" s="52" t="inlineStr">
        <is>
          <t>José</t>
        </is>
      </c>
      <c r="C11" s="52" t="inlineStr">
        <is>
          <t>CB-22</t>
        </is>
      </c>
      <c r="D11" s="53" t="n">
        <v>183</v>
      </c>
      <c r="E11" s="53" t="n">
        <v>8.6</v>
      </c>
      <c r="F11" s="53" t="n">
        <v>21.28</v>
      </c>
      <c r="G11" s="52" t="n">
        <v>224</v>
      </c>
      <c r="H11" s="53" t="n">
        <v>0.82</v>
      </c>
      <c r="I11" s="52" t="n">
        <v>8</v>
      </c>
    </row>
    <row r="12">
      <c r="A12" s="51" t="n">
        <v>46239</v>
      </c>
      <c r="B12" s="52" t="inlineStr">
        <is>
          <t>Marcos</t>
        </is>
      </c>
      <c r="C12" s="52" t="inlineStr">
        <is>
          <t>CB-11, RD-01</t>
        </is>
      </c>
      <c r="D12" s="53" t="n">
        <v>195</v>
      </c>
      <c r="E12" s="53" t="n">
        <v>17</v>
      </c>
      <c r="F12" s="53" t="n">
        <v>11.47</v>
      </c>
      <c r="G12" s="52" t="n">
        <v>192</v>
      </c>
      <c r="H12" s="53" t="n">
        <v>1.02</v>
      </c>
      <c r="I12" s="52" t="n">
        <v>6</v>
      </c>
    </row>
    <row r="13">
      <c r="A13" s="51" t="n">
        <v>46239</v>
      </c>
      <c r="B13" s="52" t="inlineStr">
        <is>
          <t>Saulo</t>
        </is>
      </c>
      <c r="C13" s="52" t="inlineStr">
        <is>
          <t>CB-17, MG-01</t>
        </is>
      </c>
      <c r="D13" s="53" t="n">
        <v>252</v>
      </c>
      <c r="E13" s="53" t="n">
        <v>17.4</v>
      </c>
      <c r="F13" s="53" t="n">
        <v>14.48</v>
      </c>
      <c r="G13" s="52" t="n">
        <v>330</v>
      </c>
      <c r="H13" s="53" t="n">
        <v>0.76</v>
      </c>
      <c r="I13" s="52" t="n">
        <v>11</v>
      </c>
    </row>
    <row r="14">
      <c r="A14" s="51" t="n">
        <v>46240</v>
      </c>
      <c r="B14" s="52" t="inlineStr">
        <is>
          <t>Antônio</t>
        </is>
      </c>
      <c r="C14" s="52" t="inlineStr">
        <is>
          <t>PC-01</t>
        </is>
      </c>
      <c r="D14" s="53" t="n">
        <v>179</v>
      </c>
      <c r="E14" s="53" t="n">
        <v>9.199999999999999</v>
      </c>
      <c r="F14" s="53" t="n">
        <v>19.46</v>
      </c>
      <c r="G14" s="52" t="n">
        <v>0</v>
      </c>
      <c r="H14" s="52" t="n">
        <v>0</v>
      </c>
      <c r="I14" s="52" t="n">
        <v>0</v>
      </c>
    </row>
    <row r="15">
      <c r="A15" s="51" t="n">
        <v>46240</v>
      </c>
      <c r="B15" s="52" t="inlineStr">
        <is>
          <t>Carlos</t>
        </is>
      </c>
      <c r="C15" s="52" t="inlineStr">
        <is>
          <t>CB-22</t>
        </is>
      </c>
      <c r="D15" s="53" t="n">
        <v>138</v>
      </c>
      <c r="E15" s="53" t="n">
        <v>8.9</v>
      </c>
      <c r="F15" s="53" t="n">
        <v>15.51</v>
      </c>
      <c r="G15" s="52" t="n">
        <v>168</v>
      </c>
      <c r="H15" s="53" t="n">
        <v>0.82</v>
      </c>
      <c r="I15" s="52" t="n">
        <v>6</v>
      </c>
    </row>
    <row r="16">
      <c r="A16" s="51" t="n">
        <v>46240</v>
      </c>
      <c r="B16" s="52" t="inlineStr">
        <is>
          <t>José</t>
        </is>
      </c>
      <c r="C16" s="52" t="inlineStr">
        <is>
          <t>CB-17, MG-01</t>
        </is>
      </c>
      <c r="D16" s="53" t="n">
        <v>289</v>
      </c>
      <c r="E16" s="53" t="n">
        <v>19.5</v>
      </c>
      <c r="F16" s="53" t="n">
        <v>14.82</v>
      </c>
      <c r="G16" s="52" t="n">
        <v>336</v>
      </c>
      <c r="H16" s="53" t="n">
        <v>0.86</v>
      </c>
      <c r="I16" s="52" t="n">
        <v>12</v>
      </c>
    </row>
    <row r="17">
      <c r="A17" s="51" t="n">
        <v>46240</v>
      </c>
      <c r="B17" s="52" t="inlineStr">
        <is>
          <t>Marcos</t>
        </is>
      </c>
      <c r="C17" s="52" t="inlineStr">
        <is>
          <t>CB-01, PC-02</t>
        </is>
      </c>
      <c r="D17" s="53" t="n">
        <v>272</v>
      </c>
      <c r="E17" s="53" t="n">
        <v>18.6</v>
      </c>
      <c r="F17" s="53" t="n">
        <v>14.62</v>
      </c>
      <c r="G17" s="52" t="n">
        <v>210</v>
      </c>
      <c r="H17" s="53" t="n">
        <v>1.3</v>
      </c>
      <c r="I17" s="52" t="n">
        <v>7</v>
      </c>
    </row>
    <row r="18">
      <c r="A18" s="51" t="n">
        <v>46240</v>
      </c>
      <c r="B18" s="52" t="inlineStr">
        <is>
          <t>Saulo</t>
        </is>
      </c>
      <c r="C18" s="52" t="inlineStr">
        <is>
          <t>CB-11, RD-01</t>
        </is>
      </c>
      <c r="D18" s="53" t="n">
        <v>267</v>
      </c>
      <c r="E18" s="53" t="n">
        <v>17.9</v>
      </c>
      <c r="F18" s="53" t="n">
        <v>14.92</v>
      </c>
      <c r="G18" s="52" t="n">
        <v>300</v>
      </c>
      <c r="H18" s="53" t="n">
        <v>0.89</v>
      </c>
      <c r="I18" s="52" t="n">
        <v>10</v>
      </c>
    </row>
    <row r="19">
      <c r="A19" s="51" t="n">
        <v>46241</v>
      </c>
      <c r="B19" s="52" t="inlineStr">
        <is>
          <t>Antônio</t>
        </is>
      </c>
      <c r="C19" s="52" t="inlineStr">
        <is>
          <t>CB-22</t>
        </is>
      </c>
      <c r="D19" s="53" t="n">
        <v>228</v>
      </c>
      <c r="E19" s="53" t="n">
        <v>8.800000000000001</v>
      </c>
      <c r="F19" s="53" t="n">
        <v>25.91</v>
      </c>
      <c r="G19" s="52" t="n">
        <v>288</v>
      </c>
      <c r="H19" s="53" t="n">
        <v>0.79</v>
      </c>
      <c r="I19" s="52" t="n">
        <v>9</v>
      </c>
    </row>
    <row r="20">
      <c r="A20" s="51" t="n">
        <v>46241</v>
      </c>
      <c r="B20" s="52" t="inlineStr">
        <is>
          <t>Carlos</t>
        </is>
      </c>
      <c r="C20" s="52" t="inlineStr">
        <is>
          <t>CB-17, MG-01</t>
        </is>
      </c>
      <c r="D20" s="53" t="n">
        <v>273</v>
      </c>
      <c r="E20" s="53" t="n">
        <v>17</v>
      </c>
      <c r="F20" s="53" t="n">
        <v>16.06</v>
      </c>
      <c r="G20" s="52" t="n">
        <v>352</v>
      </c>
      <c r="H20" s="53" t="n">
        <v>0.78</v>
      </c>
      <c r="I20" s="52" t="n">
        <v>11</v>
      </c>
    </row>
    <row r="21">
      <c r="A21" s="51" t="n">
        <v>46241</v>
      </c>
      <c r="B21" s="52" t="inlineStr">
        <is>
          <t>José</t>
        </is>
      </c>
      <c r="C21" s="52" t="inlineStr">
        <is>
          <t>CB-11, RD-01</t>
        </is>
      </c>
      <c r="D21" s="53" t="n">
        <v>261</v>
      </c>
      <c r="E21" s="53" t="n">
        <v>17.9</v>
      </c>
      <c r="F21" s="53" t="n">
        <v>14.58</v>
      </c>
      <c r="G21" s="52" t="n">
        <v>330</v>
      </c>
      <c r="H21" s="53" t="n">
        <v>0.79</v>
      </c>
      <c r="I21" s="52" t="n">
        <v>11</v>
      </c>
    </row>
    <row r="22">
      <c r="A22" s="51" t="n">
        <v>46241</v>
      </c>
      <c r="B22" s="52" t="inlineStr">
        <is>
          <t>Marcos</t>
        </is>
      </c>
      <c r="C22" s="52" t="inlineStr">
        <is>
          <t>PC-01</t>
        </is>
      </c>
      <c r="D22" s="53" t="n">
        <v>206</v>
      </c>
      <c r="E22" s="53" t="n">
        <v>10.2</v>
      </c>
      <c r="F22" s="53" t="n">
        <v>20.2</v>
      </c>
      <c r="G22" s="52" t="n">
        <v>0</v>
      </c>
      <c r="H22" s="52" t="n">
        <v>0</v>
      </c>
      <c r="I22" s="52" t="n">
        <v>0</v>
      </c>
    </row>
    <row r="23">
      <c r="A23" s="51" t="n">
        <v>46241</v>
      </c>
      <c r="B23" s="52" t="inlineStr">
        <is>
          <t>Saulo</t>
        </is>
      </c>
      <c r="C23" s="52" t="inlineStr">
        <is>
          <t>CB-01, PC-02</t>
        </is>
      </c>
      <c r="D23" s="53" t="n">
        <v>301</v>
      </c>
      <c r="E23" s="53" t="n">
        <v>17.3</v>
      </c>
      <c r="F23" s="53" t="n">
        <v>17.4</v>
      </c>
      <c r="G23" s="52" t="n">
        <v>336</v>
      </c>
      <c r="H23" s="53" t="n">
        <v>0.9</v>
      </c>
      <c r="I23" s="52" t="n">
        <v>12</v>
      </c>
    </row>
    <row r="24">
      <c r="A24" s="51" t="n">
        <v>46242</v>
      </c>
      <c r="B24" s="52" t="inlineStr">
        <is>
          <t>Antônio</t>
        </is>
      </c>
      <c r="C24" s="52" t="inlineStr">
        <is>
          <t>CB-17, MG-01</t>
        </is>
      </c>
      <c r="D24" s="53" t="n">
        <v>161</v>
      </c>
      <c r="E24" s="53" t="n">
        <v>17.2</v>
      </c>
      <c r="F24" s="53" t="n">
        <v>9.359999999999999</v>
      </c>
      <c r="G24" s="52" t="n">
        <v>150</v>
      </c>
      <c r="H24" s="53" t="n">
        <v>1.07</v>
      </c>
      <c r="I24" s="52" t="n">
        <v>5</v>
      </c>
    </row>
    <row r="25">
      <c r="A25" s="51" t="n">
        <v>46242</v>
      </c>
      <c r="B25" s="52" t="inlineStr">
        <is>
          <t>Carlos</t>
        </is>
      </c>
      <c r="C25" s="52" t="inlineStr">
        <is>
          <t>CB-11, RD-01</t>
        </is>
      </c>
      <c r="D25" s="53" t="n">
        <v>206</v>
      </c>
      <c r="E25" s="53" t="n">
        <v>17.2</v>
      </c>
      <c r="F25" s="53" t="n">
        <v>11.98</v>
      </c>
      <c r="G25" s="52" t="n">
        <v>224</v>
      </c>
      <c r="H25" s="53" t="n">
        <v>0.92</v>
      </c>
      <c r="I25" s="52" t="n">
        <v>7</v>
      </c>
    </row>
    <row r="26">
      <c r="A26" s="51" t="n">
        <v>46242</v>
      </c>
      <c r="B26" s="52" t="inlineStr">
        <is>
          <t>José</t>
        </is>
      </c>
      <c r="C26" s="52" t="inlineStr">
        <is>
          <t>CB-01, PC-02</t>
        </is>
      </c>
      <c r="D26" s="53" t="n">
        <v>207</v>
      </c>
      <c r="E26" s="53" t="n">
        <v>16</v>
      </c>
      <c r="F26" s="53" t="n">
        <v>12.94</v>
      </c>
      <c r="G26" s="52" t="n">
        <v>140</v>
      </c>
      <c r="H26" s="53" t="n">
        <v>1.48</v>
      </c>
      <c r="I26" s="52" t="n">
        <v>5</v>
      </c>
    </row>
    <row r="27">
      <c r="A27" s="51" t="n">
        <v>46242</v>
      </c>
      <c r="B27" s="52" t="inlineStr">
        <is>
          <t>Marcos</t>
        </is>
      </c>
      <c r="C27" s="52" t="inlineStr">
        <is>
          <t>CB-22</t>
        </is>
      </c>
      <c r="D27" s="53" t="n">
        <v>261</v>
      </c>
      <c r="E27" s="53" t="n">
        <v>10.1</v>
      </c>
      <c r="F27" s="53" t="n">
        <v>25.84</v>
      </c>
      <c r="G27" s="52" t="n">
        <v>330</v>
      </c>
      <c r="H27" s="53" t="n">
        <v>0.79</v>
      </c>
      <c r="I27" s="52" t="n">
        <v>11</v>
      </c>
    </row>
    <row r="28">
      <c r="A28" s="51" t="n">
        <v>46242</v>
      </c>
      <c r="B28" s="52" t="inlineStr">
        <is>
          <t>Saulo</t>
        </is>
      </c>
      <c r="C28" s="52" t="inlineStr">
        <is>
          <t>PC-01</t>
        </is>
      </c>
      <c r="D28" s="53" t="n">
        <v>168</v>
      </c>
      <c r="E28" s="53" t="n">
        <v>9.4</v>
      </c>
      <c r="F28" s="53" t="n">
        <v>17.87</v>
      </c>
      <c r="G28" s="52" t="n">
        <v>0</v>
      </c>
      <c r="H28" s="52" t="n">
        <v>0</v>
      </c>
      <c r="I28" s="52" t="n">
        <v>0</v>
      </c>
    </row>
    <row r="29">
      <c r="A29" s="51" t="n">
        <v>46244</v>
      </c>
      <c r="B29" s="52" t="inlineStr">
        <is>
          <t>Antônio</t>
        </is>
      </c>
      <c r="C29" s="52" t="inlineStr">
        <is>
          <t>CB-01, PC-02</t>
        </is>
      </c>
      <c r="D29" s="53" t="n">
        <v>262</v>
      </c>
      <c r="E29" s="53" t="n">
        <v>16.9</v>
      </c>
      <c r="F29" s="53" t="n">
        <v>15.5</v>
      </c>
      <c r="G29" s="52" t="n">
        <v>180</v>
      </c>
      <c r="H29" s="53" t="n">
        <v>1.46</v>
      </c>
      <c r="I29" s="52" t="n">
        <v>6</v>
      </c>
    </row>
    <row r="30">
      <c r="A30" s="51" t="n">
        <v>46244</v>
      </c>
      <c r="B30" s="52" t="inlineStr">
        <is>
          <t>Carlos</t>
        </is>
      </c>
      <c r="C30" s="52" t="inlineStr">
        <is>
          <t>PC-01</t>
        </is>
      </c>
      <c r="D30" s="53" t="n">
        <v>191</v>
      </c>
      <c r="E30" s="53" t="n">
        <v>9.699999999999999</v>
      </c>
      <c r="F30" s="53" t="n">
        <v>19.69</v>
      </c>
      <c r="G30" s="52" t="n">
        <v>0</v>
      </c>
      <c r="H30" s="52" t="n">
        <v>0</v>
      </c>
      <c r="I30" s="52" t="n">
        <v>0</v>
      </c>
    </row>
    <row r="31">
      <c r="A31" s="51" t="n">
        <v>46244</v>
      </c>
      <c r="B31" s="52" t="inlineStr">
        <is>
          <t>José</t>
        </is>
      </c>
      <c r="C31" s="52" t="inlineStr">
        <is>
          <t>CB-22</t>
        </is>
      </c>
      <c r="D31" s="53" t="n">
        <v>281</v>
      </c>
      <c r="E31" s="53" t="n">
        <v>10.4</v>
      </c>
      <c r="F31" s="53" t="n">
        <v>27.02</v>
      </c>
      <c r="G31" s="52" t="n">
        <v>360</v>
      </c>
      <c r="H31" s="53" t="n">
        <v>0.78</v>
      </c>
      <c r="I31" s="52" t="n">
        <v>12</v>
      </c>
    </row>
    <row r="32">
      <c r="A32" s="51" t="n">
        <v>46244</v>
      </c>
      <c r="B32" s="52" t="inlineStr">
        <is>
          <t>Marcos</t>
        </is>
      </c>
      <c r="C32" s="52" t="inlineStr">
        <is>
          <t>CB-11, RD-01</t>
        </is>
      </c>
      <c r="D32" s="53" t="n">
        <v>254</v>
      </c>
      <c r="E32" s="53" t="n">
        <v>17.1</v>
      </c>
      <c r="F32" s="53" t="n">
        <v>14.85</v>
      </c>
      <c r="G32" s="52" t="n">
        <v>308</v>
      </c>
      <c r="H32" s="53" t="n">
        <v>0.82</v>
      </c>
      <c r="I32" s="52" t="n">
        <v>11</v>
      </c>
    </row>
    <row r="33">
      <c r="A33" s="51" t="n">
        <v>46244</v>
      </c>
      <c r="B33" s="52" t="inlineStr">
        <is>
          <t>Saulo</t>
        </is>
      </c>
      <c r="C33" s="52" t="inlineStr">
        <is>
          <t>CB-17, MG-01</t>
        </is>
      </c>
      <c r="D33" s="53" t="n">
        <v>276</v>
      </c>
      <c r="E33" s="53" t="n">
        <v>19.7</v>
      </c>
      <c r="F33" s="53" t="n">
        <v>14.01</v>
      </c>
      <c r="G33" s="52" t="n">
        <v>336</v>
      </c>
      <c r="H33" s="53" t="n">
        <v>0.82</v>
      </c>
      <c r="I33" s="52" t="n">
        <v>12</v>
      </c>
    </row>
    <row r="34">
      <c r="A34" s="51" t="n">
        <v>46245</v>
      </c>
      <c r="B34" s="52" t="inlineStr">
        <is>
          <t>Antônio</t>
        </is>
      </c>
      <c r="C34" s="52" t="inlineStr">
        <is>
          <t>PC-01</t>
        </is>
      </c>
      <c r="D34" s="53" t="n">
        <v>156</v>
      </c>
      <c r="E34" s="53" t="n">
        <v>8.199999999999999</v>
      </c>
      <c r="F34" s="53" t="n">
        <v>19.02</v>
      </c>
      <c r="G34" s="52" t="n">
        <v>0</v>
      </c>
      <c r="H34" s="52" t="n">
        <v>0</v>
      </c>
      <c r="I34" s="52" t="n">
        <v>0</v>
      </c>
    </row>
    <row r="35">
      <c r="A35" s="51" t="n">
        <v>46245</v>
      </c>
      <c r="B35" s="52" t="inlineStr">
        <is>
          <t>Carlos</t>
        </is>
      </c>
      <c r="C35" s="52" t="inlineStr">
        <is>
          <t>CB-22</t>
        </is>
      </c>
      <c r="D35" s="53" t="n">
        <v>186</v>
      </c>
      <c r="E35" s="53" t="n">
        <v>10.5</v>
      </c>
      <c r="F35" s="53" t="n">
        <v>17.71</v>
      </c>
      <c r="G35" s="52" t="n">
        <v>224</v>
      </c>
      <c r="H35" s="53" t="n">
        <v>0.83</v>
      </c>
      <c r="I35" s="52" t="n">
        <v>8</v>
      </c>
    </row>
    <row r="36">
      <c r="A36" s="51" t="n">
        <v>46245</v>
      </c>
      <c r="B36" s="52" t="inlineStr">
        <is>
          <t>José</t>
        </is>
      </c>
      <c r="C36" s="52" t="inlineStr">
        <is>
          <t>CB-17</t>
        </is>
      </c>
      <c r="D36" s="53" t="n">
        <v>148</v>
      </c>
      <c r="E36" s="53" t="n">
        <v>9.800000000000001</v>
      </c>
      <c r="F36" s="53" t="n">
        <v>15.1</v>
      </c>
      <c r="G36" s="52" t="n">
        <v>320</v>
      </c>
      <c r="H36" s="53" t="n">
        <v>0.46</v>
      </c>
      <c r="I36" s="52" t="n">
        <v>10</v>
      </c>
    </row>
    <row r="37">
      <c r="A37" s="51" t="n">
        <v>46245</v>
      </c>
      <c r="B37" s="52" t="inlineStr">
        <is>
          <t>Marcos</t>
        </is>
      </c>
      <c r="C37" s="52" t="inlineStr">
        <is>
          <t>CB-01, PC-02</t>
        </is>
      </c>
      <c r="D37" s="53" t="n">
        <v>228</v>
      </c>
      <c r="E37" s="53" t="n">
        <v>18.2</v>
      </c>
      <c r="F37" s="53" t="n">
        <v>12.53</v>
      </c>
      <c r="G37" s="52" t="n">
        <v>160</v>
      </c>
      <c r="H37" s="53" t="n">
        <v>1.43</v>
      </c>
      <c r="I37" s="52" t="n">
        <v>5</v>
      </c>
    </row>
    <row r="38">
      <c r="A38" s="51" t="n">
        <v>46245</v>
      </c>
      <c r="B38" s="52" t="inlineStr">
        <is>
          <t>Saulo</t>
        </is>
      </c>
      <c r="C38" s="52" t="inlineStr">
        <is>
          <t>CB-11, RD-01</t>
        </is>
      </c>
      <c r="D38" s="53" t="n">
        <v>224</v>
      </c>
      <c r="E38" s="53" t="n">
        <v>15.4</v>
      </c>
      <c r="F38" s="53" t="n">
        <v>14.55</v>
      </c>
      <c r="G38" s="52" t="n">
        <v>288</v>
      </c>
      <c r="H38" s="53" t="n">
        <v>0.78</v>
      </c>
      <c r="I38" s="52" t="n">
        <v>9</v>
      </c>
    </row>
    <row r="39">
      <c r="A39" s="51" t="n">
        <v>46246</v>
      </c>
      <c r="B39" s="52" t="inlineStr">
        <is>
          <t>Antônio</t>
        </is>
      </c>
      <c r="C39" s="52" t="inlineStr">
        <is>
          <t>CB-22</t>
        </is>
      </c>
      <c r="D39" s="53" t="n">
        <v>301</v>
      </c>
      <c r="E39" s="53" t="n">
        <v>10</v>
      </c>
      <c r="F39" s="53" t="n">
        <v>30.1</v>
      </c>
      <c r="G39" s="52" t="n">
        <v>384</v>
      </c>
      <c r="H39" s="53" t="n">
        <v>0.78</v>
      </c>
      <c r="I39" s="52" t="n">
        <v>12</v>
      </c>
    </row>
    <row r="40">
      <c r="A40" s="51" t="n">
        <v>46246</v>
      </c>
      <c r="B40" s="52" t="inlineStr">
        <is>
          <t>Carlos</t>
        </is>
      </c>
      <c r="C40" s="52" t="inlineStr">
        <is>
          <t>CB-17, MG-01</t>
        </is>
      </c>
      <c r="D40" s="53" t="n">
        <v>225</v>
      </c>
      <c r="E40" s="53" t="n">
        <v>16.9</v>
      </c>
      <c r="F40" s="53" t="n">
        <v>13.31</v>
      </c>
      <c r="G40" s="52" t="n">
        <v>240</v>
      </c>
      <c r="H40" s="53" t="n">
        <v>0.9399999999999999</v>
      </c>
      <c r="I40" s="52" t="n">
        <v>8</v>
      </c>
    </row>
    <row r="41">
      <c r="A41" s="51" t="n">
        <v>46246</v>
      </c>
      <c r="B41" s="52" t="inlineStr">
        <is>
          <t>José</t>
        </is>
      </c>
      <c r="C41" s="52" t="inlineStr">
        <is>
          <t>CB-11, RD-01</t>
        </is>
      </c>
      <c r="D41" s="53" t="n">
        <v>232</v>
      </c>
      <c r="E41" s="53" t="n">
        <v>16.6</v>
      </c>
      <c r="F41" s="53" t="n">
        <v>13.98</v>
      </c>
      <c r="G41" s="52" t="n">
        <v>280</v>
      </c>
      <c r="H41" s="53" t="n">
        <v>0.83</v>
      </c>
      <c r="I41" s="52" t="n">
        <v>10</v>
      </c>
    </row>
    <row r="42">
      <c r="A42" s="51" t="n">
        <v>46246</v>
      </c>
      <c r="B42" s="52" t="inlineStr">
        <is>
          <t>Marcos</t>
        </is>
      </c>
      <c r="C42" s="52" t="inlineStr">
        <is>
          <t>PC-01</t>
        </is>
      </c>
      <c r="D42" s="53" t="n">
        <v>180</v>
      </c>
      <c r="E42" s="53" t="n">
        <v>10</v>
      </c>
      <c r="F42" s="53" t="n">
        <v>18</v>
      </c>
      <c r="G42" s="52" t="n">
        <v>0</v>
      </c>
      <c r="H42" s="52" t="n">
        <v>0</v>
      </c>
      <c r="I42" s="52" t="n">
        <v>0</v>
      </c>
    </row>
    <row r="43">
      <c r="A43" s="51" t="n">
        <v>46246</v>
      </c>
      <c r="B43" s="52" t="inlineStr">
        <is>
          <t>Saulo</t>
        </is>
      </c>
      <c r="C43" s="52" t="inlineStr">
        <is>
          <t>CB-01, PC-02</t>
        </is>
      </c>
      <c r="D43" s="53" t="n">
        <v>319</v>
      </c>
      <c r="E43" s="53" t="n">
        <v>17</v>
      </c>
      <c r="F43" s="53" t="n">
        <v>18.76</v>
      </c>
      <c r="G43" s="52" t="n">
        <v>300</v>
      </c>
      <c r="H43" s="53" t="n">
        <v>1.06</v>
      </c>
      <c r="I43" s="52" t="n">
        <v>10</v>
      </c>
    </row>
    <row r="44">
      <c r="A44" s="51" t="n">
        <v>46247</v>
      </c>
      <c r="B44" s="52" t="inlineStr">
        <is>
          <t>Antônio</t>
        </is>
      </c>
      <c r="C44" s="52" t="inlineStr">
        <is>
          <t>CB-17, MG-01</t>
        </is>
      </c>
      <c r="D44" s="53" t="n">
        <v>239</v>
      </c>
      <c r="E44" s="53" t="n">
        <v>19</v>
      </c>
      <c r="F44" s="53" t="n">
        <v>12.58</v>
      </c>
      <c r="G44" s="52" t="n">
        <v>224</v>
      </c>
      <c r="H44" s="53" t="n">
        <v>1.07</v>
      </c>
      <c r="I44" s="52" t="n">
        <v>7</v>
      </c>
    </row>
    <row r="45">
      <c r="A45" s="51" t="n">
        <v>46247</v>
      </c>
      <c r="B45" s="52" t="inlineStr">
        <is>
          <t>Carlos</t>
        </is>
      </c>
      <c r="C45" s="52" t="inlineStr">
        <is>
          <t>CB-11, RD-01</t>
        </is>
      </c>
      <c r="D45" s="53" t="n">
        <v>211</v>
      </c>
      <c r="E45" s="53" t="n">
        <v>20</v>
      </c>
      <c r="F45" s="53" t="n">
        <v>10.55</v>
      </c>
      <c r="G45" s="52" t="n">
        <v>196</v>
      </c>
      <c r="H45" s="53" t="n">
        <v>1.08</v>
      </c>
      <c r="I45" s="52" t="n">
        <v>7</v>
      </c>
    </row>
    <row r="46">
      <c r="A46" s="51" t="n">
        <v>46247</v>
      </c>
      <c r="B46" s="52" t="inlineStr">
        <is>
          <t>José</t>
        </is>
      </c>
      <c r="C46" s="52" t="inlineStr">
        <is>
          <t>CB-01, PC-02</t>
        </is>
      </c>
      <c r="D46" s="53" t="n">
        <v>336</v>
      </c>
      <c r="E46" s="53" t="n">
        <v>17.2</v>
      </c>
      <c r="F46" s="53" t="n">
        <v>19.53</v>
      </c>
      <c r="G46" s="52" t="n">
        <v>330</v>
      </c>
      <c r="H46" s="53" t="n">
        <v>1.02</v>
      </c>
      <c r="I46" s="52" t="n">
        <v>11</v>
      </c>
    </row>
    <row r="47">
      <c r="A47" s="51" t="n">
        <v>46247</v>
      </c>
      <c r="B47" s="52" t="inlineStr">
        <is>
          <t>Marcos</t>
        </is>
      </c>
      <c r="C47" s="52" t="inlineStr">
        <is>
          <t>CB-22</t>
        </is>
      </c>
      <c r="D47" s="53" t="n">
        <v>225</v>
      </c>
      <c r="E47" s="53" t="n">
        <v>9.5</v>
      </c>
      <c r="F47" s="53" t="n">
        <v>23.68</v>
      </c>
      <c r="G47" s="52" t="n">
        <v>280</v>
      </c>
      <c r="H47" s="53" t="n">
        <v>0.8</v>
      </c>
      <c r="I47" s="52" t="n">
        <v>10</v>
      </c>
    </row>
    <row r="48">
      <c r="A48" s="51" t="n">
        <v>46247</v>
      </c>
      <c r="B48" s="52" t="inlineStr">
        <is>
          <t>Saulo</t>
        </is>
      </c>
      <c r="C48" s="52" t="inlineStr">
        <is>
          <t>PC-01</t>
        </is>
      </c>
      <c r="D48" s="53" t="n">
        <v>152</v>
      </c>
      <c r="E48" s="53" t="n">
        <v>7.5</v>
      </c>
      <c r="F48" s="53" t="n">
        <v>20.27</v>
      </c>
      <c r="G48" s="52" t="n">
        <v>0</v>
      </c>
      <c r="H48" s="52" t="n">
        <v>0</v>
      </c>
      <c r="I48" s="52" t="n">
        <v>0</v>
      </c>
    </row>
    <row r="49">
      <c r="A49" s="51" t="n">
        <v>46248</v>
      </c>
      <c r="B49" s="52" t="inlineStr">
        <is>
          <t>Antônio</t>
        </is>
      </c>
      <c r="C49" s="52" t="inlineStr">
        <is>
          <t>CB-11, RD-01</t>
        </is>
      </c>
      <c r="D49" s="53" t="n">
        <v>227</v>
      </c>
      <c r="E49" s="53" t="n">
        <v>17.2</v>
      </c>
      <c r="F49" s="53" t="n">
        <v>13.2</v>
      </c>
      <c r="G49" s="52" t="n">
        <v>288</v>
      </c>
      <c r="H49" s="53" t="n">
        <v>0.79</v>
      </c>
      <c r="I49" s="52" t="n">
        <v>9</v>
      </c>
    </row>
    <row r="50">
      <c r="A50" s="51" t="n">
        <v>46248</v>
      </c>
      <c r="B50" s="52" t="inlineStr">
        <is>
          <t>Carlos</t>
        </is>
      </c>
      <c r="C50" s="52" t="inlineStr">
        <is>
          <t>CB-01, PC-02</t>
        </is>
      </c>
      <c r="D50" s="53" t="n">
        <v>302</v>
      </c>
      <c r="E50" s="53" t="n">
        <v>17.4</v>
      </c>
      <c r="F50" s="53" t="n">
        <v>17.36</v>
      </c>
      <c r="G50" s="52" t="n">
        <v>252</v>
      </c>
      <c r="H50" s="53" t="n">
        <v>1.2</v>
      </c>
      <c r="I50" s="52" t="n">
        <v>9</v>
      </c>
    </row>
    <row r="51">
      <c r="A51" s="51" t="n">
        <v>46248</v>
      </c>
      <c r="B51" s="52" t="inlineStr">
        <is>
          <t>José</t>
        </is>
      </c>
      <c r="C51" s="52" t="inlineStr">
        <is>
          <t>PC-01</t>
        </is>
      </c>
      <c r="D51" s="53" t="n">
        <v>199</v>
      </c>
      <c r="E51" s="53" t="n">
        <v>10.1</v>
      </c>
      <c r="F51" s="53" t="n">
        <v>19.7</v>
      </c>
      <c r="G51" s="52" t="n">
        <v>0</v>
      </c>
      <c r="H51" s="52" t="n">
        <v>0</v>
      </c>
      <c r="I51" s="52" t="n">
        <v>0</v>
      </c>
    </row>
    <row r="52">
      <c r="A52" s="51" t="n">
        <v>46248</v>
      </c>
      <c r="B52" s="52" t="inlineStr">
        <is>
          <t>Marcos</t>
        </is>
      </c>
      <c r="C52" s="52" t="inlineStr">
        <is>
          <t>CB-17, MG-01</t>
        </is>
      </c>
      <c r="D52" s="53" t="n">
        <v>254</v>
      </c>
      <c r="E52" s="53" t="n">
        <v>19.6</v>
      </c>
      <c r="F52" s="53" t="n">
        <v>12.96</v>
      </c>
      <c r="G52" s="52" t="n">
        <v>300</v>
      </c>
      <c r="H52" s="53" t="n">
        <v>0.85</v>
      </c>
      <c r="I52" s="52" t="n">
        <v>10</v>
      </c>
    </row>
    <row r="53">
      <c r="A53" s="51" t="n">
        <v>46248</v>
      </c>
      <c r="B53" s="52" t="inlineStr">
        <is>
          <t>Saulo</t>
        </is>
      </c>
      <c r="C53" s="52" t="inlineStr">
        <is>
          <t>CB-22</t>
        </is>
      </c>
      <c r="D53" s="53" t="n">
        <v>172</v>
      </c>
      <c r="E53" s="53" t="n">
        <v>9.1</v>
      </c>
      <c r="F53" s="53" t="n">
        <v>18.9</v>
      </c>
      <c r="G53" s="52" t="n">
        <v>224</v>
      </c>
      <c r="H53" s="53" t="n">
        <v>0.77</v>
      </c>
      <c r="I53" s="52" t="n">
        <v>7</v>
      </c>
    </row>
    <row r="54">
      <c r="A54" s="51" t="n">
        <v>46249</v>
      </c>
      <c r="B54" s="52" t="inlineStr">
        <is>
          <t>Antônio</t>
        </is>
      </c>
      <c r="C54" s="52" t="inlineStr">
        <is>
          <t>CB-01, PC-02</t>
        </is>
      </c>
      <c r="D54" s="53" t="n">
        <v>325</v>
      </c>
      <c r="E54" s="53" t="n">
        <v>15.9</v>
      </c>
      <c r="F54" s="53" t="n">
        <v>20.44</v>
      </c>
      <c r="G54" s="52" t="n">
        <v>336</v>
      </c>
      <c r="H54" s="53" t="n">
        <v>0.97</v>
      </c>
      <c r="I54" s="52" t="n">
        <v>12</v>
      </c>
    </row>
    <row r="55">
      <c r="A55" s="51" t="n">
        <v>46249</v>
      </c>
      <c r="B55" s="52" t="inlineStr">
        <is>
          <t>Carlos</t>
        </is>
      </c>
      <c r="C55" s="52" t="inlineStr">
        <is>
          <t>PC-01</t>
        </is>
      </c>
      <c r="D55" s="53" t="n">
        <v>188</v>
      </c>
      <c r="E55" s="53" t="n">
        <v>9.9</v>
      </c>
      <c r="F55" s="53" t="n">
        <v>18.99</v>
      </c>
      <c r="G55" s="52" t="n">
        <v>0</v>
      </c>
      <c r="H55" s="52" t="n">
        <v>0</v>
      </c>
      <c r="I55" s="52" t="n">
        <v>0</v>
      </c>
    </row>
    <row r="56">
      <c r="A56" s="51" t="n">
        <v>46249</v>
      </c>
      <c r="B56" s="52" t="inlineStr">
        <is>
          <t>José</t>
        </is>
      </c>
      <c r="C56" s="52" t="inlineStr">
        <is>
          <t>CB-22</t>
        </is>
      </c>
      <c r="D56" s="53" t="n">
        <v>199</v>
      </c>
      <c r="E56" s="53" t="n">
        <v>9.300000000000001</v>
      </c>
      <c r="F56" s="53" t="n">
        <v>21.4</v>
      </c>
      <c r="G56" s="52" t="n">
        <v>256</v>
      </c>
      <c r="H56" s="53" t="n">
        <v>0.78</v>
      </c>
      <c r="I56" s="52" t="n">
        <v>8</v>
      </c>
    </row>
    <row r="57">
      <c r="A57" s="51" t="n">
        <v>46249</v>
      </c>
      <c r="B57" s="52" t="inlineStr">
        <is>
          <t>Marcos</t>
        </is>
      </c>
      <c r="C57" s="52" t="inlineStr">
        <is>
          <t>CB-11, RD-01</t>
        </is>
      </c>
      <c r="D57" s="53" t="n">
        <v>195</v>
      </c>
      <c r="E57" s="53" t="n">
        <v>18.2</v>
      </c>
      <c r="F57" s="53" t="n">
        <v>10.71</v>
      </c>
      <c r="G57" s="52" t="n">
        <v>140</v>
      </c>
      <c r="H57" s="53" t="n">
        <v>1.39</v>
      </c>
      <c r="I57" s="52" t="n">
        <v>5</v>
      </c>
    </row>
    <row r="58">
      <c r="A58" s="51" t="n">
        <v>46249</v>
      </c>
      <c r="B58" s="52" t="inlineStr">
        <is>
          <t>Saulo</t>
        </is>
      </c>
      <c r="C58" s="52" t="inlineStr">
        <is>
          <t>CB-17, MG-01</t>
        </is>
      </c>
      <c r="D58" s="53" t="n">
        <v>215</v>
      </c>
      <c r="E58" s="53" t="n">
        <v>20.1</v>
      </c>
      <c r="F58" s="53" t="n">
        <v>10.7</v>
      </c>
      <c r="G58" s="52" t="n">
        <v>180</v>
      </c>
      <c r="H58" s="53" t="n">
        <v>1.19</v>
      </c>
      <c r="I58" s="52" t="n">
        <v>6</v>
      </c>
    </row>
    <row r="59">
      <c r="A59" s="51" t="n">
        <v>46251</v>
      </c>
      <c r="B59" s="52" t="inlineStr">
        <is>
          <t>Antônio</t>
        </is>
      </c>
      <c r="C59" s="52" t="inlineStr">
        <is>
          <t>CB-22</t>
        </is>
      </c>
      <c r="D59" s="53" t="n">
        <v>162</v>
      </c>
      <c r="E59" s="53" t="n">
        <v>8.300000000000001</v>
      </c>
      <c r="F59" s="53" t="n">
        <v>19.52</v>
      </c>
      <c r="G59" s="52" t="n">
        <v>210</v>
      </c>
      <c r="H59" s="53" t="n">
        <v>0.77</v>
      </c>
      <c r="I59" s="52" t="n">
        <v>7</v>
      </c>
    </row>
    <row r="60">
      <c r="A60" s="51" t="n">
        <v>46251</v>
      </c>
      <c r="B60" s="52" t="inlineStr">
        <is>
          <t>Carlos</t>
        </is>
      </c>
      <c r="C60" s="52" t="inlineStr">
        <is>
          <t>CB-17, MG-01</t>
        </is>
      </c>
      <c r="D60" s="53" t="n">
        <v>215</v>
      </c>
      <c r="E60" s="53" t="n">
        <v>18.9</v>
      </c>
      <c r="F60" s="53" t="n">
        <v>11.38</v>
      </c>
      <c r="G60" s="52" t="n">
        <v>224</v>
      </c>
      <c r="H60" s="53" t="n">
        <v>0.96</v>
      </c>
      <c r="I60" s="52" t="n">
        <v>7</v>
      </c>
    </row>
    <row r="61">
      <c r="A61" s="51" t="n">
        <v>46251</v>
      </c>
      <c r="B61" s="52" t="inlineStr">
        <is>
          <t>José</t>
        </is>
      </c>
      <c r="C61" s="52" t="inlineStr">
        <is>
          <t>CB-11, RD-01</t>
        </is>
      </c>
      <c r="D61" s="53" t="n">
        <v>204</v>
      </c>
      <c r="E61" s="53" t="n">
        <v>16.4</v>
      </c>
      <c r="F61" s="53" t="n">
        <v>12.44</v>
      </c>
      <c r="G61" s="52" t="n">
        <v>240</v>
      </c>
      <c r="H61" s="53" t="n">
        <v>0.85</v>
      </c>
      <c r="I61" s="52" t="n">
        <v>8</v>
      </c>
    </row>
    <row r="62">
      <c r="A62" s="51" t="n">
        <v>46251</v>
      </c>
      <c r="B62" s="52" t="inlineStr">
        <is>
          <t>Marcos</t>
        </is>
      </c>
      <c r="C62" s="52" t="inlineStr">
        <is>
          <t>PC-01</t>
        </is>
      </c>
      <c r="D62" s="53" t="n">
        <v>165</v>
      </c>
      <c r="E62" s="53" t="n">
        <v>8.699999999999999</v>
      </c>
      <c r="F62" s="53" t="n">
        <v>18.97</v>
      </c>
      <c r="G62" s="52" t="n">
        <v>0</v>
      </c>
      <c r="H62" s="52" t="n">
        <v>0</v>
      </c>
      <c r="I62" s="52" t="n">
        <v>0</v>
      </c>
    </row>
    <row r="63">
      <c r="A63" s="51" t="n">
        <v>46251</v>
      </c>
      <c r="B63" s="52" t="inlineStr">
        <is>
          <t>Saulo</t>
        </is>
      </c>
      <c r="C63" s="52" t="inlineStr">
        <is>
          <t>CB-01, PC-02</t>
        </is>
      </c>
      <c r="D63" s="53" t="n">
        <v>369</v>
      </c>
      <c r="E63" s="53" t="n">
        <v>18.6</v>
      </c>
      <c r="F63" s="53" t="n">
        <v>19.84</v>
      </c>
      <c r="G63" s="52" t="n">
        <v>336</v>
      </c>
      <c r="H63" s="53" t="n">
        <v>1.1</v>
      </c>
      <c r="I63" s="52" t="n">
        <v>12</v>
      </c>
    </row>
    <row r="64">
      <c r="A64" s="51" t="n">
        <v>46252</v>
      </c>
      <c r="B64" s="52" t="inlineStr">
        <is>
          <t>Antônio</t>
        </is>
      </c>
      <c r="C64" s="52" t="inlineStr">
        <is>
          <t>CB-17, MG-01</t>
        </is>
      </c>
      <c r="D64" s="53" t="n">
        <v>180</v>
      </c>
      <c r="E64" s="53" t="n">
        <v>17.7</v>
      </c>
      <c r="F64" s="53" t="n">
        <v>10.17</v>
      </c>
      <c r="G64" s="52" t="n">
        <v>168</v>
      </c>
      <c r="H64" s="53" t="n">
        <v>1.07</v>
      </c>
      <c r="I64" s="52" t="n">
        <v>6</v>
      </c>
    </row>
    <row r="65">
      <c r="A65" s="51" t="n">
        <v>46252</v>
      </c>
      <c r="B65" s="52" t="inlineStr">
        <is>
          <t>Carlos</t>
        </is>
      </c>
      <c r="C65" s="52" t="inlineStr">
        <is>
          <t>CB-11, RD-01</t>
        </is>
      </c>
      <c r="D65" s="53" t="n">
        <v>302</v>
      </c>
      <c r="E65" s="53" t="n">
        <v>19.4</v>
      </c>
      <c r="F65" s="53" t="n">
        <v>15.57</v>
      </c>
      <c r="G65" s="52" t="n">
        <v>384</v>
      </c>
      <c r="H65" s="53" t="n">
        <v>0.79</v>
      </c>
      <c r="I65" s="52" t="n">
        <v>12</v>
      </c>
    </row>
    <row r="66">
      <c r="A66" s="51" t="n">
        <v>46252</v>
      </c>
      <c r="B66" s="52" t="inlineStr">
        <is>
          <t>José</t>
        </is>
      </c>
      <c r="C66" s="52" t="inlineStr">
        <is>
          <t>CB-01, PC-02</t>
        </is>
      </c>
      <c r="D66" s="53" t="n">
        <v>286</v>
      </c>
      <c r="E66" s="53" t="n">
        <v>16</v>
      </c>
      <c r="F66" s="53" t="n">
        <v>17.88</v>
      </c>
      <c r="G66" s="52" t="n">
        <v>280</v>
      </c>
      <c r="H66" s="53" t="n">
        <v>1.02</v>
      </c>
      <c r="I66" s="52" t="n">
        <v>10</v>
      </c>
    </row>
    <row r="67">
      <c r="A67" s="51" t="n">
        <v>46252</v>
      </c>
      <c r="B67" s="52" t="inlineStr">
        <is>
          <t>Marcos</t>
        </is>
      </c>
      <c r="C67" s="52" t="inlineStr">
        <is>
          <t>CB-22</t>
        </is>
      </c>
      <c r="D67" s="53" t="n">
        <v>131</v>
      </c>
      <c r="E67" s="53" t="n">
        <v>10.4</v>
      </c>
      <c r="F67" s="53" t="n">
        <v>12.6</v>
      </c>
      <c r="G67" s="52" t="n">
        <v>168</v>
      </c>
      <c r="H67" s="53" t="n">
        <v>0.78</v>
      </c>
      <c r="I67" s="52" t="n">
        <v>6</v>
      </c>
    </row>
    <row r="68">
      <c r="A68" s="51" t="n">
        <v>46252</v>
      </c>
      <c r="B68" s="52" t="inlineStr">
        <is>
          <t>Saulo</t>
        </is>
      </c>
      <c r="C68" s="52" t="inlineStr">
        <is>
          <t>PC-01</t>
        </is>
      </c>
      <c r="D68" s="53" t="n">
        <v>180</v>
      </c>
      <c r="E68" s="53" t="n">
        <v>9.800000000000001</v>
      </c>
      <c r="F68" s="53" t="n">
        <v>18.37</v>
      </c>
      <c r="G68" s="52" t="n">
        <v>0</v>
      </c>
      <c r="H68" s="52" t="n">
        <v>0</v>
      </c>
      <c r="I68" s="52" t="n">
        <v>0</v>
      </c>
    </row>
    <row r="69">
      <c r="A69" s="51" t="n">
        <v>46253</v>
      </c>
      <c r="B69" s="52" t="inlineStr">
        <is>
          <t>Antônio</t>
        </is>
      </c>
      <c r="C69" s="52" t="inlineStr">
        <is>
          <t>CB-11, RD-01</t>
        </is>
      </c>
      <c r="D69" s="53" t="n">
        <v>228</v>
      </c>
      <c r="E69" s="53" t="n">
        <v>19.5</v>
      </c>
      <c r="F69" s="53" t="n">
        <v>11.69</v>
      </c>
      <c r="G69" s="52" t="n">
        <v>210</v>
      </c>
      <c r="H69" s="53" t="n">
        <v>1.09</v>
      </c>
      <c r="I69" s="52" t="n">
        <v>7</v>
      </c>
    </row>
    <row r="70">
      <c r="A70" s="51" t="n">
        <v>46253</v>
      </c>
      <c r="B70" s="52" t="inlineStr">
        <is>
          <t>Carlos</t>
        </is>
      </c>
      <c r="C70" s="52" t="inlineStr">
        <is>
          <t>CB-01, PC-02</t>
        </is>
      </c>
      <c r="D70" s="53" t="n">
        <v>347</v>
      </c>
      <c r="E70" s="53" t="n">
        <v>19.7</v>
      </c>
      <c r="F70" s="53" t="n">
        <v>17.61</v>
      </c>
      <c r="G70" s="52" t="n">
        <v>384</v>
      </c>
      <c r="H70" s="53" t="n">
        <v>0.9</v>
      </c>
      <c r="I70" s="52" t="n">
        <v>12</v>
      </c>
    </row>
    <row r="71">
      <c r="A71" s="51" t="n">
        <v>46253</v>
      </c>
      <c r="B71" s="52" t="inlineStr">
        <is>
          <t>José</t>
        </is>
      </c>
      <c r="C71" s="52" t="inlineStr">
        <is>
          <t>PC-01</t>
        </is>
      </c>
      <c r="D71" s="53" t="n">
        <v>177</v>
      </c>
      <c r="E71" s="53" t="n">
        <v>8.800000000000001</v>
      </c>
      <c r="F71" s="53" t="n">
        <v>20.11</v>
      </c>
      <c r="G71" s="52" t="n">
        <v>0</v>
      </c>
      <c r="H71" s="52" t="n">
        <v>0</v>
      </c>
      <c r="I71" s="52" t="n">
        <v>0</v>
      </c>
    </row>
    <row r="72">
      <c r="A72" s="51" t="n">
        <v>46253</v>
      </c>
      <c r="B72" s="52" t="inlineStr">
        <is>
          <t>Marcos</t>
        </is>
      </c>
      <c r="C72" s="52" t="inlineStr">
        <is>
          <t>CB-17, MG-01</t>
        </is>
      </c>
      <c r="D72" s="53" t="n">
        <v>203</v>
      </c>
      <c r="E72" s="53" t="n">
        <v>18</v>
      </c>
      <c r="F72" s="53" t="n">
        <v>11.28</v>
      </c>
      <c r="G72" s="52" t="n">
        <v>180</v>
      </c>
      <c r="H72" s="53" t="n">
        <v>1.13</v>
      </c>
      <c r="I72" s="52" t="n">
        <v>6</v>
      </c>
    </row>
    <row r="73">
      <c r="A73" s="51" t="n">
        <v>46253</v>
      </c>
      <c r="B73" s="52" t="inlineStr">
        <is>
          <t>Saulo</t>
        </is>
      </c>
      <c r="C73" s="52" t="inlineStr">
        <is>
          <t>CB-22</t>
        </is>
      </c>
      <c r="D73" s="53" t="n">
        <v>136</v>
      </c>
      <c r="E73" s="53" t="n">
        <v>7.7</v>
      </c>
      <c r="F73" s="53" t="n">
        <v>17.66</v>
      </c>
      <c r="G73" s="52" t="n">
        <v>180</v>
      </c>
      <c r="H73" s="53" t="n">
        <v>0.76</v>
      </c>
      <c r="I73" s="52" t="n">
        <v>6</v>
      </c>
    </row>
    <row r="74">
      <c r="A74" s="51" t="n">
        <v>46254</v>
      </c>
      <c r="B74" s="52" t="inlineStr">
        <is>
          <t>Antônio</t>
        </is>
      </c>
      <c r="C74" s="52" t="inlineStr">
        <is>
          <t>CB-01, PC-02</t>
        </is>
      </c>
      <c r="D74" s="53" t="n">
        <v>314</v>
      </c>
      <c r="E74" s="53" t="n">
        <v>17</v>
      </c>
      <c r="F74" s="53" t="n">
        <v>18.47</v>
      </c>
      <c r="G74" s="52" t="n">
        <v>288</v>
      </c>
      <c r="H74" s="53" t="n">
        <v>1.09</v>
      </c>
      <c r="I74" s="52" t="n">
        <v>9</v>
      </c>
    </row>
    <row r="75">
      <c r="A75" s="51" t="n">
        <v>46254</v>
      </c>
      <c r="B75" s="52" t="inlineStr">
        <is>
          <t>Carlos</t>
        </is>
      </c>
      <c r="C75" s="52" t="inlineStr">
        <is>
          <t>PC-01</t>
        </is>
      </c>
      <c r="D75" s="53" t="n">
        <v>188</v>
      </c>
      <c r="E75" s="53" t="n">
        <v>10</v>
      </c>
      <c r="F75" s="53" t="n">
        <v>18.8</v>
      </c>
      <c r="G75" s="52" t="n">
        <v>0</v>
      </c>
      <c r="H75" s="52" t="n">
        <v>0</v>
      </c>
      <c r="I75" s="52" t="n">
        <v>0</v>
      </c>
    </row>
    <row r="76">
      <c r="A76" s="51" t="n">
        <v>46254</v>
      </c>
      <c r="B76" s="52" t="inlineStr">
        <is>
          <t>José</t>
        </is>
      </c>
      <c r="C76" s="52" t="inlineStr">
        <is>
          <t>CB-22</t>
        </is>
      </c>
      <c r="D76" s="53" t="n">
        <v>283</v>
      </c>
      <c r="E76" s="53" t="n">
        <v>8.1</v>
      </c>
      <c r="F76" s="53" t="n">
        <v>34.94</v>
      </c>
      <c r="G76" s="52" t="n">
        <v>336</v>
      </c>
      <c r="H76" s="53" t="n">
        <v>0.84</v>
      </c>
      <c r="I76" s="52" t="n">
        <v>12</v>
      </c>
    </row>
    <row r="77">
      <c r="A77" s="51" t="n">
        <v>46254</v>
      </c>
      <c r="B77" s="52" t="inlineStr">
        <is>
          <t>Marcos</t>
        </is>
      </c>
      <c r="C77" s="52" t="inlineStr">
        <is>
          <t>CB-11, RD-01</t>
        </is>
      </c>
      <c r="D77" s="53" t="n">
        <v>203</v>
      </c>
      <c r="E77" s="53" t="n">
        <v>17.1</v>
      </c>
      <c r="F77" s="53" t="n">
        <v>11.87</v>
      </c>
      <c r="G77" s="52" t="n">
        <v>210</v>
      </c>
      <c r="H77" s="53" t="n">
        <v>0.97</v>
      </c>
      <c r="I77" s="52" t="n">
        <v>7</v>
      </c>
    </row>
    <row r="78">
      <c r="A78" s="51" t="n">
        <v>46254</v>
      </c>
      <c r="B78" s="52" t="inlineStr">
        <is>
          <t>Saulo</t>
        </is>
      </c>
      <c r="C78" s="52" t="inlineStr">
        <is>
          <t>CB-17, MG-01</t>
        </is>
      </c>
      <c r="D78" s="53" t="n">
        <v>192</v>
      </c>
      <c r="E78" s="53" t="n">
        <v>17.9</v>
      </c>
      <c r="F78" s="53" t="n">
        <v>10.73</v>
      </c>
      <c r="G78" s="52" t="n">
        <v>140</v>
      </c>
      <c r="H78" s="53" t="n">
        <v>1.37</v>
      </c>
      <c r="I78" s="52" t="n">
        <v>5</v>
      </c>
    </row>
    <row r="79">
      <c r="A79" s="51" t="n">
        <v>46255</v>
      </c>
      <c r="B79" s="52" t="inlineStr">
        <is>
          <t>Antônio</t>
        </is>
      </c>
      <c r="C79" s="52" t="inlineStr">
        <is>
          <t>PC-01</t>
        </is>
      </c>
      <c r="D79" s="53" t="n">
        <v>161</v>
      </c>
      <c r="E79" s="53" t="n">
        <v>8.9</v>
      </c>
      <c r="F79" s="53" t="n">
        <v>18.09</v>
      </c>
      <c r="G79" s="52" t="n">
        <v>0</v>
      </c>
      <c r="H79" s="52" t="n">
        <v>0</v>
      </c>
      <c r="I79" s="52" t="n">
        <v>0</v>
      </c>
    </row>
    <row r="80">
      <c r="A80" s="51" t="n">
        <v>46255</v>
      </c>
      <c r="B80" s="52" t="inlineStr">
        <is>
          <t>Carlos</t>
        </is>
      </c>
      <c r="C80" s="52" t="inlineStr">
        <is>
          <t>CB-22</t>
        </is>
      </c>
      <c r="D80" s="53" t="n">
        <v>223</v>
      </c>
      <c r="E80" s="53" t="n">
        <v>9</v>
      </c>
      <c r="F80" s="53" t="n">
        <v>24.78</v>
      </c>
      <c r="G80" s="52" t="n">
        <v>288</v>
      </c>
      <c r="H80" s="53" t="n">
        <v>0.77</v>
      </c>
      <c r="I80" s="52" t="n">
        <v>9</v>
      </c>
    </row>
    <row r="81">
      <c r="A81" s="51" t="n">
        <v>46255</v>
      </c>
      <c r="B81" s="52" t="inlineStr">
        <is>
          <t>José</t>
        </is>
      </c>
      <c r="C81" s="52" t="inlineStr">
        <is>
          <t>CB-17, MG-01</t>
        </is>
      </c>
      <c r="D81" s="53" t="n">
        <v>202</v>
      </c>
      <c r="E81" s="53" t="n">
        <v>19.2</v>
      </c>
      <c r="F81" s="53" t="n">
        <v>10.52</v>
      </c>
      <c r="G81" s="52" t="n">
        <v>140</v>
      </c>
      <c r="H81" s="53" t="n">
        <v>1.44</v>
      </c>
      <c r="I81" s="52" t="n">
        <v>5</v>
      </c>
    </row>
    <row r="82">
      <c r="A82" s="51" t="n">
        <v>46255</v>
      </c>
      <c r="B82" s="52" t="inlineStr">
        <is>
          <t>Marcos</t>
        </is>
      </c>
      <c r="C82" s="52" t="inlineStr">
        <is>
          <t>CB-01</t>
        </is>
      </c>
      <c r="D82" s="53" t="n">
        <v>107</v>
      </c>
      <c r="E82" s="53" t="n">
        <v>8.5</v>
      </c>
      <c r="F82" s="53" t="n">
        <v>12.59</v>
      </c>
      <c r="G82" s="52" t="n">
        <v>210</v>
      </c>
      <c r="H82" s="53" t="n">
        <v>0.51</v>
      </c>
      <c r="I82" s="52" t="n">
        <v>7</v>
      </c>
    </row>
    <row r="83">
      <c r="A83" s="51" t="n">
        <v>46255</v>
      </c>
      <c r="B83" s="52" t="inlineStr">
        <is>
          <t>Saulo</t>
        </is>
      </c>
      <c r="C83" s="52" t="inlineStr">
        <is>
          <t>CB-11, RD-01</t>
        </is>
      </c>
      <c r="D83" s="53" t="n">
        <v>170</v>
      </c>
      <c r="E83" s="53" t="n">
        <v>18.8</v>
      </c>
      <c r="F83" s="53" t="n">
        <v>9.039999999999999</v>
      </c>
      <c r="G83" s="52" t="n">
        <v>140</v>
      </c>
      <c r="H83" s="53" t="n">
        <v>1.21</v>
      </c>
      <c r="I83" s="52" t="n">
        <v>5</v>
      </c>
    </row>
    <row r="84">
      <c r="A84" s="51" t="n">
        <v>46256</v>
      </c>
      <c r="B84" s="52" t="inlineStr">
        <is>
          <t>Antônio</t>
        </is>
      </c>
      <c r="C84" s="52" t="inlineStr">
        <is>
          <t>CB-22</t>
        </is>
      </c>
      <c r="D84" s="53" t="n">
        <v>133</v>
      </c>
      <c r="E84" s="53" t="n">
        <v>8.300000000000001</v>
      </c>
      <c r="F84" s="53" t="n">
        <v>16.02</v>
      </c>
      <c r="G84" s="52" t="n">
        <v>168</v>
      </c>
      <c r="H84" s="53" t="n">
        <v>0.79</v>
      </c>
      <c r="I84" s="52" t="n">
        <v>6</v>
      </c>
    </row>
    <row r="85">
      <c r="A85" s="51" t="n">
        <v>46256</v>
      </c>
      <c r="B85" s="52" t="inlineStr">
        <is>
          <t>Carlos</t>
        </is>
      </c>
      <c r="C85" s="52" t="inlineStr">
        <is>
          <t>CB-17, MG-01</t>
        </is>
      </c>
      <c r="D85" s="53" t="n">
        <v>225</v>
      </c>
      <c r="E85" s="53" t="n">
        <v>18.5</v>
      </c>
      <c r="F85" s="53" t="n">
        <v>12.16</v>
      </c>
      <c r="G85" s="52" t="n">
        <v>224</v>
      </c>
      <c r="H85" s="53" t="n">
        <v>1</v>
      </c>
      <c r="I85" s="52" t="n">
        <v>8</v>
      </c>
    </row>
    <row r="86">
      <c r="A86" s="51" t="n">
        <v>46256</v>
      </c>
      <c r="B86" s="52" t="inlineStr">
        <is>
          <t>José</t>
        </is>
      </c>
      <c r="C86" s="52" t="inlineStr">
        <is>
          <t>CB-11, RD-01</t>
        </is>
      </c>
      <c r="D86" s="53" t="n">
        <v>184</v>
      </c>
      <c r="E86" s="53" t="n">
        <v>17.7</v>
      </c>
      <c r="F86" s="53" t="n">
        <v>10.4</v>
      </c>
      <c r="G86" s="52" t="n">
        <v>150</v>
      </c>
      <c r="H86" s="53" t="n">
        <v>1.23</v>
      </c>
      <c r="I86" s="52" t="n">
        <v>5</v>
      </c>
    </row>
    <row r="87">
      <c r="A87" s="51" t="n">
        <v>46256</v>
      </c>
      <c r="B87" s="52" t="inlineStr">
        <is>
          <t>Marcos</t>
        </is>
      </c>
      <c r="C87" s="52" t="inlineStr">
        <is>
          <t>PC-01</t>
        </is>
      </c>
      <c r="D87" s="53" t="n">
        <v>140</v>
      </c>
      <c r="E87" s="53" t="n">
        <v>7.6</v>
      </c>
      <c r="F87" s="53" t="n">
        <v>18.42</v>
      </c>
      <c r="G87" s="52" t="n">
        <v>0</v>
      </c>
      <c r="H87" s="52" t="n">
        <v>0</v>
      </c>
      <c r="I87" s="52" t="n">
        <v>0</v>
      </c>
    </row>
    <row r="88">
      <c r="A88" s="51" t="n">
        <v>46256</v>
      </c>
      <c r="B88" s="52" t="inlineStr">
        <is>
          <t>Saulo</t>
        </is>
      </c>
      <c r="C88" s="52" t="inlineStr">
        <is>
          <t>CB-01, PC-02</t>
        </is>
      </c>
      <c r="D88" s="53" t="n">
        <v>272</v>
      </c>
      <c r="E88" s="53" t="n">
        <v>17.3</v>
      </c>
      <c r="F88" s="53" t="n">
        <v>15.72</v>
      </c>
      <c r="G88" s="52" t="n">
        <v>224</v>
      </c>
      <c r="H88" s="53" t="n">
        <v>1.21</v>
      </c>
      <c r="I88" s="52" t="n">
        <v>8</v>
      </c>
    </row>
    <row r="89">
      <c r="A89" s="51" t="n">
        <v>46258</v>
      </c>
      <c r="B89" s="52" t="inlineStr">
        <is>
          <t>Antônio</t>
        </is>
      </c>
      <c r="C89" s="52" t="inlineStr">
        <is>
          <t>CB-11, RD-01</t>
        </is>
      </c>
      <c r="D89" s="53" t="n">
        <v>191</v>
      </c>
      <c r="E89" s="53" t="n">
        <v>16.3</v>
      </c>
      <c r="F89" s="53" t="n">
        <v>11.72</v>
      </c>
      <c r="G89" s="52" t="n">
        <v>196</v>
      </c>
      <c r="H89" s="53" t="n">
        <v>0.97</v>
      </c>
      <c r="I89" s="52" t="n">
        <v>7</v>
      </c>
    </row>
    <row r="90">
      <c r="A90" s="51" t="n">
        <v>46258</v>
      </c>
      <c r="B90" s="52" t="inlineStr">
        <is>
          <t>Carlos</t>
        </is>
      </c>
      <c r="C90" s="52" t="inlineStr">
        <is>
          <t>CB-01, PC-02</t>
        </is>
      </c>
      <c r="D90" s="53" t="n">
        <v>309</v>
      </c>
      <c r="E90" s="53" t="n">
        <v>18.3</v>
      </c>
      <c r="F90" s="53" t="n">
        <v>16.89</v>
      </c>
      <c r="G90" s="52" t="n">
        <v>330</v>
      </c>
      <c r="H90" s="53" t="n">
        <v>0.9399999999999999</v>
      </c>
      <c r="I90" s="52" t="n">
        <v>11</v>
      </c>
    </row>
    <row r="91">
      <c r="A91" s="51" t="n">
        <v>46258</v>
      </c>
      <c r="B91" s="52" t="inlineStr">
        <is>
          <t>José</t>
        </is>
      </c>
      <c r="C91" s="52" t="inlineStr">
        <is>
          <t>PC-01</t>
        </is>
      </c>
      <c r="D91" s="53" t="n">
        <v>185</v>
      </c>
      <c r="E91" s="53" t="n">
        <v>9.5</v>
      </c>
      <c r="F91" s="53" t="n">
        <v>19.47</v>
      </c>
      <c r="G91" s="52" t="n">
        <v>0</v>
      </c>
      <c r="H91" s="52" t="n">
        <v>0</v>
      </c>
      <c r="I91" s="52" t="n">
        <v>0</v>
      </c>
    </row>
    <row r="92">
      <c r="A92" s="51" t="n">
        <v>46258</v>
      </c>
      <c r="B92" s="52" t="inlineStr">
        <is>
          <t>Marcos</t>
        </is>
      </c>
      <c r="C92" s="52" t="inlineStr">
        <is>
          <t>CB-17, MG-01</t>
        </is>
      </c>
      <c r="D92" s="53" t="n">
        <v>271</v>
      </c>
      <c r="E92" s="53" t="n">
        <v>16.8</v>
      </c>
      <c r="F92" s="53" t="n">
        <v>16.13</v>
      </c>
      <c r="G92" s="52" t="n">
        <v>352</v>
      </c>
      <c r="H92" s="53" t="n">
        <v>0.77</v>
      </c>
      <c r="I92" s="52" t="n">
        <v>11</v>
      </c>
    </row>
    <row r="93">
      <c r="A93" s="51" t="n">
        <v>46258</v>
      </c>
      <c r="B93" s="52" t="inlineStr">
        <is>
          <t>Saulo</t>
        </is>
      </c>
      <c r="C93" s="52" t="inlineStr">
        <is>
          <t>CB-22</t>
        </is>
      </c>
      <c r="D93" s="53" t="n">
        <v>129</v>
      </c>
      <c r="E93" s="53" t="n">
        <v>10.2</v>
      </c>
      <c r="F93" s="53" t="n">
        <v>12.65</v>
      </c>
      <c r="G93" s="52" t="n">
        <v>160</v>
      </c>
      <c r="H93" s="53" t="n">
        <v>0.8100000000000001</v>
      </c>
      <c r="I93" s="52" t="n">
        <v>5</v>
      </c>
    </row>
    <row r="94">
      <c r="A94" s="51" t="n">
        <v>46259</v>
      </c>
      <c r="B94" s="52" t="inlineStr">
        <is>
          <t>Antônio</t>
        </is>
      </c>
      <c r="C94" s="52" t="inlineStr">
        <is>
          <t>CB-01, PC-02</t>
        </is>
      </c>
      <c r="D94" s="53" t="n">
        <v>245</v>
      </c>
      <c r="E94" s="53" t="n">
        <v>18.2</v>
      </c>
      <c r="F94" s="53" t="n">
        <v>13.46</v>
      </c>
      <c r="G94" s="52" t="n">
        <v>160</v>
      </c>
      <c r="H94" s="53" t="n">
        <v>1.53</v>
      </c>
      <c r="I94" s="52" t="n">
        <v>5</v>
      </c>
    </row>
    <row r="95">
      <c r="A95" s="51" t="n">
        <v>46259</v>
      </c>
      <c r="B95" s="52" t="inlineStr">
        <is>
          <t>Carlos</t>
        </is>
      </c>
      <c r="C95" s="52" t="inlineStr">
        <is>
          <t>PC-01</t>
        </is>
      </c>
      <c r="D95" s="53" t="n">
        <v>197</v>
      </c>
      <c r="E95" s="53" t="n">
        <v>9.699999999999999</v>
      </c>
      <c r="F95" s="53" t="n">
        <v>20.31</v>
      </c>
      <c r="G95" s="52" t="n">
        <v>0</v>
      </c>
      <c r="H95" s="52" t="n">
        <v>0</v>
      </c>
      <c r="I95" s="52" t="n">
        <v>0</v>
      </c>
    </row>
    <row r="96">
      <c r="A96" s="51" t="n">
        <v>46259</v>
      </c>
      <c r="B96" s="52" t="inlineStr">
        <is>
          <t>José</t>
        </is>
      </c>
      <c r="C96" s="52" t="inlineStr">
        <is>
          <t>CB-22</t>
        </is>
      </c>
      <c r="D96" s="53" t="n">
        <v>207</v>
      </c>
      <c r="E96" s="53" t="n">
        <v>7.7</v>
      </c>
      <c r="F96" s="53" t="n">
        <v>26.88</v>
      </c>
      <c r="G96" s="52" t="n">
        <v>252</v>
      </c>
      <c r="H96" s="53" t="n">
        <v>0.82</v>
      </c>
      <c r="I96" s="52" t="n">
        <v>9</v>
      </c>
    </row>
    <row r="97">
      <c r="A97" s="51" t="n">
        <v>46259</v>
      </c>
      <c r="B97" s="52" t="inlineStr">
        <is>
          <t>Marcos</t>
        </is>
      </c>
      <c r="C97" s="52" t="inlineStr">
        <is>
          <t>CB-11, RD-01</t>
        </is>
      </c>
      <c r="D97" s="53" t="n">
        <v>276</v>
      </c>
      <c r="E97" s="53" t="n">
        <v>17.2</v>
      </c>
      <c r="F97" s="53" t="n">
        <v>16.05</v>
      </c>
      <c r="G97" s="52" t="n">
        <v>336</v>
      </c>
      <c r="H97" s="53" t="n">
        <v>0.82</v>
      </c>
      <c r="I97" s="52" t="n">
        <v>12</v>
      </c>
    </row>
    <row r="98">
      <c r="A98" s="51" t="n">
        <v>46259</v>
      </c>
      <c r="B98" s="52" t="inlineStr">
        <is>
          <t>Saulo</t>
        </is>
      </c>
      <c r="C98" s="52" t="inlineStr">
        <is>
          <t>CB-17, MG-01</t>
        </is>
      </c>
      <c r="D98" s="53" t="n">
        <v>215</v>
      </c>
      <c r="E98" s="53" t="n">
        <v>18.9</v>
      </c>
      <c r="F98" s="53" t="n">
        <v>11.38</v>
      </c>
      <c r="G98" s="52" t="n">
        <v>192</v>
      </c>
      <c r="H98" s="53" t="n">
        <v>1.12</v>
      </c>
      <c r="I98" s="52" t="n">
        <v>6</v>
      </c>
    </row>
    <row r="99">
      <c r="A99" s="51" t="n">
        <v>46260</v>
      </c>
      <c r="B99" s="52" t="inlineStr">
        <is>
          <t>Carlos</t>
        </is>
      </c>
      <c r="C99" s="52" t="inlineStr">
        <is>
          <t>CB-22</t>
        </is>
      </c>
      <c r="D99" s="53" t="n">
        <v>215</v>
      </c>
      <c r="E99" s="53" t="n">
        <v>9</v>
      </c>
      <c r="F99" s="53" t="n">
        <v>23.89</v>
      </c>
      <c r="G99" s="52" t="n">
        <v>270</v>
      </c>
      <c r="H99" s="53" t="n">
        <v>0.8</v>
      </c>
      <c r="I99" s="52" t="n">
        <v>9</v>
      </c>
    </row>
    <row r="100">
      <c r="A100" s="51" t="n">
        <v>46260</v>
      </c>
      <c r="B100" s="52" t="inlineStr">
        <is>
          <t>José</t>
        </is>
      </c>
      <c r="C100" s="52" t="inlineStr">
        <is>
          <t>CB-17, MG-01</t>
        </is>
      </c>
      <c r="D100" s="53" t="n">
        <v>236</v>
      </c>
      <c r="E100" s="53" t="n">
        <v>16.6</v>
      </c>
      <c r="F100" s="53" t="n">
        <v>14.22</v>
      </c>
      <c r="G100" s="52" t="n">
        <v>288</v>
      </c>
      <c r="H100" s="53" t="n">
        <v>0.82</v>
      </c>
      <c r="I100" s="52" t="n">
        <v>9</v>
      </c>
    </row>
    <row r="101">
      <c r="A101" s="51" t="n">
        <v>46260</v>
      </c>
      <c r="B101" s="52" t="inlineStr">
        <is>
          <t>Marcos</t>
        </is>
      </c>
      <c r="C101" s="52" t="inlineStr">
        <is>
          <t>CB-01, PC-02</t>
        </is>
      </c>
      <c r="D101" s="53" t="n">
        <v>289</v>
      </c>
      <c r="E101" s="53" t="n">
        <v>19.9</v>
      </c>
      <c r="F101" s="53" t="n">
        <v>14.52</v>
      </c>
      <c r="G101" s="52" t="n">
        <v>192</v>
      </c>
      <c r="H101" s="53" t="n">
        <v>1.51</v>
      </c>
      <c r="I101" s="52" t="n">
        <v>6</v>
      </c>
    </row>
    <row r="102">
      <c r="A102" s="51" t="n">
        <v>46260</v>
      </c>
      <c r="B102" s="52" t="inlineStr">
        <is>
          <t>Saulo</t>
        </is>
      </c>
      <c r="C102" s="52" t="inlineStr">
        <is>
          <t>CB-11, RD-01</t>
        </is>
      </c>
      <c r="D102" s="53" t="n">
        <v>234</v>
      </c>
      <c r="E102" s="53" t="n">
        <v>18.1</v>
      </c>
      <c r="F102" s="53" t="n">
        <v>12.93</v>
      </c>
      <c r="G102" s="52" t="n">
        <v>288</v>
      </c>
      <c r="H102" s="53" t="n">
        <v>0.8100000000000001</v>
      </c>
      <c r="I102" s="52" t="n">
        <v>9</v>
      </c>
    </row>
    <row r="103">
      <c r="A103" s="51" t="n">
        <v>46261</v>
      </c>
      <c r="B103" s="52" t="inlineStr">
        <is>
          <t>Antônio</t>
        </is>
      </c>
      <c r="C103" s="52" t="inlineStr">
        <is>
          <t>CB-22</t>
        </is>
      </c>
      <c r="D103" s="53" t="n">
        <v>151</v>
      </c>
      <c r="E103" s="53" t="n">
        <v>8.300000000000001</v>
      </c>
      <c r="F103" s="53" t="n">
        <v>18.19</v>
      </c>
      <c r="G103" s="52" t="n">
        <v>192</v>
      </c>
      <c r="H103" s="53" t="n">
        <v>0.79</v>
      </c>
      <c r="I103" s="52" t="n">
        <v>6</v>
      </c>
    </row>
    <row r="104">
      <c r="A104" s="51" t="n">
        <v>46261</v>
      </c>
      <c r="B104" s="52" t="inlineStr">
        <is>
          <t>Carlos</t>
        </is>
      </c>
      <c r="C104" s="52" t="inlineStr">
        <is>
          <t>CB-17, MG-01</t>
        </is>
      </c>
      <c r="D104" s="53" t="n">
        <v>251</v>
      </c>
      <c r="E104" s="53" t="n">
        <v>18</v>
      </c>
      <c r="F104" s="53" t="n">
        <v>13.94</v>
      </c>
      <c r="G104" s="52" t="n">
        <v>280</v>
      </c>
      <c r="H104" s="53" t="n">
        <v>0.9</v>
      </c>
      <c r="I104" s="52" t="n">
        <v>10</v>
      </c>
    </row>
    <row r="105">
      <c r="A105" s="51" t="n">
        <v>46261</v>
      </c>
      <c r="B105" s="52" t="inlineStr">
        <is>
          <t>José</t>
        </is>
      </c>
      <c r="C105" s="52" t="inlineStr">
        <is>
          <t>CB-11, RD-01</t>
        </is>
      </c>
      <c r="D105" s="53" t="n">
        <v>200</v>
      </c>
      <c r="E105" s="53" t="n">
        <v>19.8</v>
      </c>
      <c r="F105" s="53" t="n">
        <v>10.1</v>
      </c>
      <c r="G105" s="52" t="n">
        <v>192</v>
      </c>
      <c r="H105" s="53" t="n">
        <v>1.04</v>
      </c>
      <c r="I105" s="52" t="n">
        <v>6</v>
      </c>
    </row>
    <row r="106">
      <c r="A106" s="51" t="n">
        <v>46261</v>
      </c>
      <c r="B106" s="52" t="inlineStr">
        <is>
          <t>Marcos</t>
        </is>
      </c>
      <c r="C106" s="52" t="inlineStr">
        <is>
          <t>PC-01</t>
        </is>
      </c>
      <c r="D106" s="53" t="n">
        <v>189</v>
      </c>
      <c r="E106" s="53" t="n">
        <v>10.1</v>
      </c>
      <c r="F106" s="53" t="n">
        <v>18.71</v>
      </c>
      <c r="G106" s="52" t="n">
        <v>0</v>
      </c>
      <c r="H106" s="52" t="n">
        <v>0</v>
      </c>
      <c r="I106" s="52" t="n">
        <v>0</v>
      </c>
    </row>
    <row r="107">
      <c r="A107" s="51" t="n">
        <v>46261</v>
      </c>
      <c r="B107" s="52" t="inlineStr">
        <is>
          <t>Saulo</t>
        </is>
      </c>
      <c r="C107" s="52" t="inlineStr">
        <is>
          <t>CB-01, PC-02</t>
        </is>
      </c>
      <c r="D107" s="53" t="n">
        <v>332</v>
      </c>
      <c r="E107" s="53" t="n">
        <v>15.7</v>
      </c>
      <c r="F107" s="53" t="n">
        <v>21.15</v>
      </c>
      <c r="G107" s="52" t="n">
        <v>360</v>
      </c>
      <c r="H107" s="53" t="n">
        <v>0.92</v>
      </c>
      <c r="I107" s="52" t="n">
        <v>12</v>
      </c>
    </row>
    <row r="108">
      <c r="A108" s="51" t="n">
        <v>46262</v>
      </c>
      <c r="B108" s="52" t="inlineStr">
        <is>
          <t>Antônio</t>
        </is>
      </c>
      <c r="C108" s="52" t="inlineStr">
        <is>
          <t>CB-17, MG-01</t>
        </is>
      </c>
      <c r="D108" s="53" t="n">
        <v>236</v>
      </c>
      <c r="E108" s="53" t="n">
        <v>17.2</v>
      </c>
      <c r="F108" s="53" t="n">
        <v>13.72</v>
      </c>
      <c r="G108" s="52" t="n">
        <v>280</v>
      </c>
      <c r="H108" s="53" t="n">
        <v>0.84</v>
      </c>
      <c r="I108" s="52" t="n">
        <v>10</v>
      </c>
    </row>
    <row r="109">
      <c r="A109" s="51" t="n">
        <v>46262</v>
      </c>
      <c r="B109" s="52" t="inlineStr">
        <is>
          <t>Carlos</t>
        </is>
      </c>
      <c r="C109" s="52" t="inlineStr">
        <is>
          <t>CB-11, RD-01</t>
        </is>
      </c>
      <c r="D109" s="53" t="n">
        <v>184</v>
      </c>
      <c r="E109" s="53" t="n">
        <v>17.9</v>
      </c>
      <c r="F109" s="53" t="n">
        <v>10.28</v>
      </c>
      <c r="G109" s="52" t="n">
        <v>168</v>
      </c>
      <c r="H109" s="53" t="n">
        <v>1.1</v>
      </c>
      <c r="I109" s="52" t="n">
        <v>6</v>
      </c>
    </row>
    <row r="110">
      <c r="A110" s="51" t="n">
        <v>46262</v>
      </c>
      <c r="B110" s="52" t="inlineStr">
        <is>
          <t>José</t>
        </is>
      </c>
      <c r="C110" s="52" t="inlineStr">
        <is>
          <t>CB-01, PC-02</t>
        </is>
      </c>
      <c r="D110" s="53" t="n">
        <v>265</v>
      </c>
      <c r="E110" s="53" t="n">
        <v>18.1</v>
      </c>
      <c r="F110" s="53" t="n">
        <v>14.64</v>
      </c>
      <c r="G110" s="52" t="n">
        <v>180</v>
      </c>
      <c r="H110" s="53" t="n">
        <v>1.47</v>
      </c>
      <c r="I110" s="52" t="n">
        <v>6</v>
      </c>
    </row>
    <row r="111">
      <c r="A111" s="51" t="n">
        <v>46262</v>
      </c>
      <c r="B111" s="52" t="inlineStr">
        <is>
          <t>Marcos</t>
        </is>
      </c>
      <c r="C111" s="52" t="inlineStr">
        <is>
          <t>CB-22</t>
        </is>
      </c>
      <c r="D111" s="53" t="n">
        <v>247</v>
      </c>
      <c r="E111" s="53" t="n">
        <v>9.300000000000001</v>
      </c>
      <c r="F111" s="53" t="n">
        <v>26.56</v>
      </c>
      <c r="G111" s="52" t="n">
        <v>300</v>
      </c>
      <c r="H111" s="53" t="n">
        <v>0.82</v>
      </c>
      <c r="I111" s="52" t="n">
        <v>10</v>
      </c>
    </row>
    <row r="112">
      <c r="A112" s="51" t="n">
        <v>46262</v>
      </c>
      <c r="B112" s="52" t="inlineStr">
        <is>
          <t>Saulo</t>
        </is>
      </c>
      <c r="C112" s="52" t="inlineStr">
        <is>
          <t>PC-01</t>
        </is>
      </c>
      <c r="D112" s="53" t="n">
        <v>148</v>
      </c>
      <c r="E112" s="53" t="n">
        <v>8.300000000000001</v>
      </c>
      <c r="F112" s="53" t="n">
        <v>17.83</v>
      </c>
      <c r="G112" s="52" t="n">
        <v>0</v>
      </c>
      <c r="H112" s="52" t="n">
        <v>0</v>
      </c>
      <c r="I112" s="52" t="n">
        <v>0</v>
      </c>
    </row>
    <row r="113">
      <c r="A113" s="51" t="n">
        <v>46263</v>
      </c>
      <c r="B113" s="52" t="inlineStr">
        <is>
          <t>Antônio</t>
        </is>
      </c>
      <c r="C113" s="52" t="inlineStr">
        <is>
          <t>CB-11, RD-01</t>
        </is>
      </c>
      <c r="D113" s="53" t="n">
        <v>228</v>
      </c>
      <c r="E113" s="53" t="n">
        <v>19.7</v>
      </c>
      <c r="F113" s="53" t="n">
        <v>11.57</v>
      </c>
      <c r="G113" s="52" t="n">
        <v>256</v>
      </c>
      <c r="H113" s="53" t="n">
        <v>0.89</v>
      </c>
      <c r="I113" s="52" t="n">
        <v>8</v>
      </c>
    </row>
    <row r="114">
      <c r="A114" s="51" t="n">
        <v>46263</v>
      </c>
      <c r="B114" s="52" t="inlineStr">
        <is>
          <t>Carlos</t>
        </is>
      </c>
      <c r="C114" s="52" t="inlineStr">
        <is>
          <t>CB-01, PC-02</t>
        </is>
      </c>
      <c r="D114" s="53" t="n">
        <v>344</v>
      </c>
      <c r="E114" s="53" t="n">
        <v>20.2</v>
      </c>
      <c r="F114" s="53" t="n">
        <v>17.03</v>
      </c>
      <c r="G114" s="52" t="n">
        <v>308</v>
      </c>
      <c r="H114" s="53" t="n">
        <v>1.12</v>
      </c>
      <c r="I114" s="52" t="n">
        <v>11</v>
      </c>
    </row>
    <row r="115">
      <c r="A115" s="51" t="n">
        <v>46263</v>
      </c>
      <c r="B115" s="52" t="inlineStr">
        <is>
          <t>José</t>
        </is>
      </c>
      <c r="C115" s="52" t="inlineStr">
        <is>
          <t>PC-01</t>
        </is>
      </c>
      <c r="D115" s="53" t="n">
        <v>165</v>
      </c>
      <c r="E115" s="53" t="n">
        <v>8.4</v>
      </c>
      <c r="F115" s="53" t="n">
        <v>19.64</v>
      </c>
      <c r="G115" s="52" t="n">
        <v>0</v>
      </c>
      <c r="H115" s="52" t="n">
        <v>0</v>
      </c>
      <c r="I115" s="52" t="n">
        <v>0</v>
      </c>
    </row>
    <row r="116">
      <c r="A116" s="51" t="n">
        <v>46263</v>
      </c>
      <c r="B116" s="52" t="inlineStr">
        <is>
          <t>Marcos</t>
        </is>
      </c>
      <c r="C116" s="52" t="inlineStr">
        <is>
          <t>CB-17, MG-01</t>
        </is>
      </c>
      <c r="D116" s="53" t="n">
        <v>221</v>
      </c>
      <c r="E116" s="53" t="n">
        <v>17.9</v>
      </c>
      <c r="F116" s="53" t="n">
        <v>12.35</v>
      </c>
      <c r="G116" s="52" t="n">
        <v>224</v>
      </c>
      <c r="H116" s="53" t="n">
        <v>0.99</v>
      </c>
      <c r="I116" s="52" t="n">
        <v>7</v>
      </c>
    </row>
    <row r="117">
      <c r="A117" s="51" t="n">
        <v>46263</v>
      </c>
      <c r="B117" s="52" t="inlineStr">
        <is>
          <t>Saulo</t>
        </is>
      </c>
      <c r="C117" s="52" t="inlineStr">
        <is>
          <t>CB-22</t>
        </is>
      </c>
      <c r="D117" s="53" t="n">
        <v>156</v>
      </c>
      <c r="E117" s="53" t="n">
        <v>10.2</v>
      </c>
      <c r="F117" s="53" t="n">
        <v>15.29</v>
      </c>
      <c r="G117" s="52" t="n">
        <v>196</v>
      </c>
      <c r="H117" s="53" t="n">
        <v>0.8</v>
      </c>
      <c r="I117" s="52" t="n">
        <v>7</v>
      </c>
    </row>
    <row r="118">
      <c r="A118" s="51" t="n">
        <v>46265</v>
      </c>
      <c r="B118" s="52" t="inlineStr">
        <is>
          <t>Antônio</t>
        </is>
      </c>
      <c r="C118" s="52" t="inlineStr">
        <is>
          <t>PC-01</t>
        </is>
      </c>
      <c r="D118" s="53" t="n">
        <v>152</v>
      </c>
      <c r="E118" s="53" t="n">
        <v>8.5</v>
      </c>
      <c r="F118" s="53" t="n">
        <v>17.88</v>
      </c>
      <c r="G118" s="52" t="n">
        <v>0</v>
      </c>
      <c r="H118" s="52" t="n">
        <v>0</v>
      </c>
      <c r="I118" s="52" t="n">
        <v>0</v>
      </c>
    </row>
    <row r="119">
      <c r="A119" s="51" t="n">
        <v>46265</v>
      </c>
      <c r="B119" s="52" t="inlineStr">
        <is>
          <t>José</t>
        </is>
      </c>
      <c r="C119" s="52" t="inlineStr">
        <is>
          <t>CB-17, MG-01</t>
        </is>
      </c>
      <c r="D119" s="53" t="n">
        <v>219</v>
      </c>
      <c r="E119" s="53" t="n">
        <v>18.5</v>
      </c>
      <c r="F119" s="53" t="n">
        <v>11.84</v>
      </c>
      <c r="G119" s="52" t="n">
        <v>224</v>
      </c>
      <c r="H119" s="53" t="n">
        <v>0.98</v>
      </c>
      <c r="I119" s="52" t="n">
        <v>7</v>
      </c>
    </row>
    <row r="120">
      <c r="A120" s="51" t="n">
        <v>46265</v>
      </c>
      <c r="B120" s="52" t="inlineStr">
        <is>
          <t>Marcos</t>
        </is>
      </c>
      <c r="C120" s="52" t="inlineStr">
        <is>
          <t>CB-01, PC-02</t>
        </is>
      </c>
      <c r="D120" s="53" t="n">
        <v>242</v>
      </c>
      <c r="E120" s="53" t="n">
        <v>16.2</v>
      </c>
      <c r="F120" s="53" t="n">
        <v>14.94</v>
      </c>
      <c r="G120" s="52" t="n">
        <v>196</v>
      </c>
      <c r="H120" s="53" t="n">
        <v>1.23</v>
      </c>
      <c r="I120" s="52" t="n">
        <v>7</v>
      </c>
    </row>
    <row r="121">
      <c r="A121" s="51" t="n">
        <v>46265</v>
      </c>
      <c r="B121" s="52" t="inlineStr">
        <is>
          <t>Saulo</t>
        </is>
      </c>
      <c r="C121" s="52" t="inlineStr">
        <is>
          <t>CB-11, RD-01</t>
        </is>
      </c>
      <c r="D121" s="53" t="n">
        <v>237</v>
      </c>
      <c r="E121" s="53" t="n">
        <v>18.2</v>
      </c>
      <c r="F121" s="53" t="n">
        <v>13.02</v>
      </c>
      <c r="G121" s="52" t="n">
        <v>240</v>
      </c>
      <c r="H121" s="53" t="n">
        <v>0.99</v>
      </c>
      <c r="I121" s="52" t="n">
        <v>8</v>
      </c>
    </row>
    <row r="122">
      <c r="A122" s="51" t="n">
        <v>46266</v>
      </c>
      <c r="B122" s="52" t="inlineStr">
        <is>
          <t>Antônio</t>
        </is>
      </c>
      <c r="C122" s="52" t="inlineStr">
        <is>
          <t>CB-22</t>
        </is>
      </c>
      <c r="D122" s="53" t="n">
        <v>304</v>
      </c>
      <c r="E122" s="53" t="n">
        <v>8.699999999999999</v>
      </c>
      <c r="F122" s="53" t="n">
        <v>34.94</v>
      </c>
      <c r="G122" s="52" t="n">
        <v>360</v>
      </c>
      <c r="H122" s="53" t="n">
        <v>0.84</v>
      </c>
      <c r="I122" s="52" t="n">
        <v>12</v>
      </c>
    </row>
    <row r="123">
      <c r="A123" s="51" t="n">
        <v>46266</v>
      </c>
      <c r="B123" s="52" t="inlineStr">
        <is>
          <t>Carlos</t>
        </is>
      </c>
      <c r="C123" s="52" t="inlineStr">
        <is>
          <t>CB-17, MG-01</t>
        </is>
      </c>
      <c r="D123" s="53" t="n">
        <v>209</v>
      </c>
      <c r="E123" s="53" t="n">
        <v>19.2</v>
      </c>
      <c r="F123" s="53" t="n">
        <v>10.89</v>
      </c>
      <c r="G123" s="52" t="n">
        <v>224</v>
      </c>
      <c r="H123" s="53" t="n">
        <v>0.93</v>
      </c>
      <c r="I123" s="52" t="n">
        <v>8</v>
      </c>
    </row>
    <row r="124">
      <c r="A124" s="51" t="n">
        <v>46266</v>
      </c>
      <c r="B124" s="52" t="inlineStr">
        <is>
          <t>José</t>
        </is>
      </c>
      <c r="C124" s="52" t="inlineStr">
        <is>
          <t>CB-11, RD-01</t>
        </is>
      </c>
      <c r="D124" s="53" t="n">
        <v>259</v>
      </c>
      <c r="E124" s="53" t="n">
        <v>19.2</v>
      </c>
      <c r="F124" s="53" t="n">
        <v>13.49</v>
      </c>
      <c r="G124" s="52" t="n">
        <v>280</v>
      </c>
      <c r="H124" s="53" t="n">
        <v>0.93</v>
      </c>
      <c r="I124" s="52" t="n">
        <v>10</v>
      </c>
    </row>
    <row r="125">
      <c r="A125" s="51" t="n">
        <v>46266</v>
      </c>
      <c r="B125" s="52" t="inlineStr">
        <is>
          <t>Marcos</t>
        </is>
      </c>
      <c r="C125" s="52" t="inlineStr">
        <is>
          <t>PC-01</t>
        </is>
      </c>
      <c r="D125" s="53" t="n">
        <v>179</v>
      </c>
      <c r="E125" s="53" t="n">
        <v>10.1</v>
      </c>
      <c r="F125" s="53" t="n">
        <v>17.72</v>
      </c>
      <c r="G125" s="52" t="n">
        <v>0</v>
      </c>
      <c r="H125" s="52" t="n">
        <v>0</v>
      </c>
      <c r="I125" s="52" t="n">
        <v>0</v>
      </c>
    </row>
    <row r="126">
      <c r="A126" s="51" t="n">
        <v>46266</v>
      </c>
      <c r="B126" s="52" t="inlineStr">
        <is>
          <t>Saulo</t>
        </is>
      </c>
      <c r="C126" s="52" t="inlineStr">
        <is>
          <t>CB-01, PC-02</t>
        </is>
      </c>
      <c r="D126" s="53" t="n">
        <v>261</v>
      </c>
      <c r="E126" s="53" t="n">
        <v>16.3</v>
      </c>
      <c r="F126" s="53" t="n">
        <v>16.01</v>
      </c>
      <c r="G126" s="52" t="n">
        <v>240</v>
      </c>
      <c r="H126" s="53" t="n">
        <v>1.09</v>
      </c>
      <c r="I126" s="52" t="n">
        <v>8</v>
      </c>
    </row>
    <row r="127">
      <c r="A127" s="51" t="n">
        <v>46267</v>
      </c>
      <c r="B127" s="52" t="inlineStr">
        <is>
          <t>Antônio</t>
        </is>
      </c>
      <c r="C127" s="52" t="inlineStr">
        <is>
          <t>CB-17, MG-01</t>
        </is>
      </c>
      <c r="D127" s="53" t="n">
        <v>213</v>
      </c>
      <c r="E127" s="53" t="n">
        <v>20.5</v>
      </c>
      <c r="F127" s="53" t="n">
        <v>10.39</v>
      </c>
      <c r="G127" s="52" t="n">
        <v>192</v>
      </c>
      <c r="H127" s="53" t="n">
        <v>1.11</v>
      </c>
      <c r="I127" s="52" t="n">
        <v>6</v>
      </c>
    </row>
    <row r="128">
      <c r="A128" s="51" t="n">
        <v>46267</v>
      </c>
      <c r="B128" s="52" t="inlineStr">
        <is>
          <t>Carlos</t>
        </is>
      </c>
      <c r="C128" s="52" t="inlineStr">
        <is>
          <t>CB-11, RD-01</t>
        </is>
      </c>
      <c r="D128" s="53" t="n">
        <v>185</v>
      </c>
      <c r="E128" s="53" t="n">
        <v>15.8</v>
      </c>
      <c r="F128" s="53" t="n">
        <v>11.71</v>
      </c>
      <c r="G128" s="52" t="n">
        <v>192</v>
      </c>
      <c r="H128" s="53" t="n">
        <v>0.96</v>
      </c>
      <c r="I128" s="52" t="n">
        <v>6</v>
      </c>
    </row>
    <row r="129">
      <c r="A129" s="51" t="n">
        <v>46267</v>
      </c>
      <c r="B129" s="52" t="inlineStr">
        <is>
          <t>José</t>
        </is>
      </c>
      <c r="C129" s="52" t="inlineStr">
        <is>
          <t>CB-01, PC-02</t>
        </is>
      </c>
      <c r="D129" s="53" t="n">
        <v>341</v>
      </c>
      <c r="E129" s="53" t="n">
        <v>17.5</v>
      </c>
      <c r="F129" s="53" t="n">
        <v>19.49</v>
      </c>
      <c r="G129" s="52" t="n">
        <v>360</v>
      </c>
      <c r="H129" s="53" t="n">
        <v>0.95</v>
      </c>
      <c r="I129" s="52" t="n">
        <v>12</v>
      </c>
    </row>
    <row r="130">
      <c r="A130" s="51" t="n">
        <v>46267</v>
      </c>
      <c r="B130" s="52" t="inlineStr">
        <is>
          <t>Marcos</t>
        </is>
      </c>
      <c r="C130" s="52" t="inlineStr">
        <is>
          <t>CB-22</t>
        </is>
      </c>
      <c r="D130" s="53" t="n">
        <v>131</v>
      </c>
      <c r="E130" s="53" t="n">
        <v>7.9</v>
      </c>
      <c r="F130" s="53" t="n">
        <v>16.58</v>
      </c>
      <c r="G130" s="52" t="n">
        <v>160</v>
      </c>
      <c r="H130" s="53" t="n">
        <v>0.82</v>
      </c>
      <c r="I130" s="52" t="n">
        <v>5</v>
      </c>
    </row>
    <row r="131">
      <c r="A131" s="51" t="n">
        <v>46267</v>
      </c>
      <c r="B131" s="52" t="inlineStr">
        <is>
          <t>Saulo</t>
        </is>
      </c>
      <c r="C131" s="52" t="inlineStr">
        <is>
          <t>PC-01</t>
        </is>
      </c>
      <c r="D131" s="53" t="n">
        <v>179</v>
      </c>
      <c r="E131" s="53" t="n">
        <v>9.4</v>
      </c>
      <c r="F131" s="53" t="n">
        <v>19.04</v>
      </c>
      <c r="G131" s="52" t="n">
        <v>0</v>
      </c>
      <c r="H131" s="52" t="n">
        <v>0</v>
      </c>
      <c r="I131" s="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4A3B8"/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1" customWidth="1" min="4" max="4"/>
    <col width="14" customWidth="1" min="5" max="5"/>
    <col width="12" customWidth="1" min="6" max="6"/>
    <col width="9" customWidth="1" min="7" max="7"/>
    <col width="12" customWidth="1" min="8" max="8"/>
    <col width="9" customWidth="1" min="9" max="9"/>
    <col width="13" customWidth="1" min="10" max="10"/>
    <col width="14" customWidth="1" min="11" max="11"/>
    <col width="11" customWidth="1" min="12" max="12"/>
    <col width="10" customWidth="1" min="13" max="13"/>
    <col width="12" customWidth="1" min="14" max="14"/>
    <col width="10" customWidth="1" min="15" max="15"/>
    <col width="11" customWidth="1" min="16" max="16"/>
    <col width="40" customWidth="1" min="17" max="17"/>
    <col width="30" customWidth="1" min="18" max="18"/>
    <col width="12" customWidth="1" min="19" max="19"/>
  </cols>
  <sheetData>
    <row r="1">
      <c r="A1" s="50" t="inlineStr">
        <is>
          <t>Resumo por Mês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Mês</t>
        </is>
      </c>
      <c r="B3" s="30" t="inlineStr">
        <is>
          <t>Dias com lançamento</t>
        </is>
      </c>
      <c r="C3" s="30" t="inlineStr">
        <is>
          <t>Equipamentos</t>
        </is>
      </c>
      <c r="D3" s="30" t="inlineStr">
        <is>
          <t>Operadores</t>
        </is>
      </c>
      <c r="E3" s="30" t="inlineStr">
        <is>
          <t>Consumo total (L)</t>
        </is>
      </c>
      <c r="F3" s="30" t="inlineStr">
        <is>
          <t>Horas totais</t>
        </is>
      </c>
      <c r="G3" s="30" t="inlineStr">
        <is>
          <t>L/h</t>
        </is>
      </c>
      <c r="H3" s="30" t="inlineStr">
        <is>
          <t>Produção (t)</t>
        </is>
      </c>
      <c r="I3" s="30" t="inlineStr">
        <is>
          <t>L/Ton</t>
        </is>
      </c>
      <c r="J3" s="30" t="inlineStr">
        <is>
          <t>Diesel S-10 (L)</t>
        </is>
      </c>
      <c r="K3" s="30" t="inlineStr">
        <is>
          <t>Diesel S-500 (L)</t>
        </is>
      </c>
      <c r="L3" s="30" t="inlineStr">
        <is>
          <t>ARLA (L)</t>
        </is>
      </c>
      <c r="M3" s="30" t="inlineStr">
        <is>
          <t>KM</t>
        </is>
      </c>
      <c r="N3" s="30" t="inlineStr">
        <is>
          <t>Média km/L</t>
        </is>
      </c>
      <c r="O3" s="30" t="inlineStr">
        <is>
          <t>Viagens</t>
        </is>
      </c>
      <c r="P3" s="30" t="inlineStr">
        <is>
          <t>Manutenções</t>
        </is>
      </c>
      <c r="Q3" s="30" t="inlineStr">
        <is>
          <t>Quais equipamentos</t>
        </is>
      </c>
      <c r="R3" s="30" t="inlineStr">
        <is>
          <t>Quais operadores</t>
        </is>
      </c>
      <c r="S3" s="30" t="inlineStr">
        <is>
          <t>_id</t>
        </is>
      </c>
    </row>
    <row r="4">
      <c r="A4" s="52" t="inlineStr">
        <is>
          <t>Agosto/2026</t>
        </is>
      </c>
      <c r="B4" s="52" t="n">
        <v>24</v>
      </c>
      <c r="C4" s="52" t="n">
        <v>8</v>
      </c>
      <c r="D4" s="52" t="n">
        <v>5</v>
      </c>
      <c r="E4" s="53" t="n">
        <v>26098</v>
      </c>
      <c r="F4" s="53" t="n">
        <v>1689.1</v>
      </c>
      <c r="G4" s="53" t="n">
        <v>15.45</v>
      </c>
      <c r="H4" s="52" t="n">
        <v>23614</v>
      </c>
      <c r="I4" s="53" t="n">
        <v>1.11</v>
      </c>
      <c r="J4" s="53" t="n">
        <v>23164</v>
      </c>
      <c r="K4" s="53" t="n">
        <v>2934</v>
      </c>
      <c r="L4" s="53" t="n">
        <v>222</v>
      </c>
      <c r="M4" s="53" t="n">
        <v>24845</v>
      </c>
      <c r="N4" s="53" t="n">
        <v>0.95</v>
      </c>
      <c r="O4" s="52" t="n">
        <v>791</v>
      </c>
      <c r="P4" s="52" t="n">
        <v>4</v>
      </c>
      <c r="Q4" s="52" t="inlineStr">
        <is>
          <t>CB-01, CB-11, CB-17, CB-22, MG-01, PC-01, PC-02, RD-01</t>
        </is>
      </c>
      <c r="R4" s="52" t="inlineStr">
        <is>
          <t>Antônio, Carlos, José, Marcos, Saulo</t>
        </is>
      </c>
      <c r="S4" s="52" t="inlineStr">
        <is>
          <t>2026-08</t>
        </is>
      </c>
    </row>
    <row r="5">
      <c r="A5" s="52" t="inlineStr">
        <is>
          <t>Setembro/2026</t>
        </is>
      </c>
      <c r="B5" s="52" t="n">
        <v>2</v>
      </c>
      <c r="C5" s="52" t="n">
        <v>8</v>
      </c>
      <c r="D5" s="52" t="n">
        <v>5</v>
      </c>
      <c r="E5" s="53" t="n">
        <v>2261</v>
      </c>
      <c r="F5" s="53" t="n">
        <v>144.6</v>
      </c>
      <c r="G5" s="53" t="n">
        <v>15.64</v>
      </c>
      <c r="H5" s="52" t="n">
        <v>2008</v>
      </c>
      <c r="I5" s="53" t="n">
        <v>1.13</v>
      </c>
      <c r="J5" s="53" t="n">
        <v>1981</v>
      </c>
      <c r="K5" s="53" t="n">
        <v>280</v>
      </c>
      <c r="L5" s="53" t="n">
        <v>21</v>
      </c>
      <c r="M5" s="53" t="n">
        <v>2156</v>
      </c>
      <c r="N5" s="53" t="n">
        <v>0.95</v>
      </c>
      <c r="O5" s="52" t="n">
        <v>67</v>
      </c>
      <c r="P5" s="52" t="n">
        <v>0</v>
      </c>
      <c r="Q5" s="52" t="inlineStr">
        <is>
          <t>CB-01, CB-11, CB-17, CB-22, MG-01, PC-01, PC-02, RD-01</t>
        </is>
      </c>
      <c r="R5" s="52" t="inlineStr">
        <is>
          <t>Antônio, Carlos, José, Marcos, Saulo</t>
        </is>
      </c>
      <c r="S5" s="52" t="inlineStr">
        <is>
          <t>2026-09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4A3B8"/>
    <outlinePr summaryBelow="1" summaryRight="1"/>
    <pageSetUpPr/>
  </sheetPr>
  <dimension ref="A1:P2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8" customWidth="1" min="6" max="6"/>
    <col width="9" customWidth="1" min="7" max="7"/>
    <col width="12" customWidth="1" min="8" max="8"/>
    <col width="10" customWidth="1" min="9" max="9"/>
    <col width="11" customWidth="1" min="10" max="10"/>
    <col width="9" customWidth="1" min="11" max="11"/>
    <col width="9" customWidth="1" min="12" max="12"/>
    <col width="11" customWidth="1" min="13" max="13"/>
    <col width="9" customWidth="1" min="14" max="14"/>
    <col width="20" customWidth="1" min="15" max="15"/>
    <col width="12" customWidth="1" min="16" max="16"/>
  </cols>
  <sheetData>
    <row r="1">
      <c r="A1" s="50" t="inlineStr">
        <is>
          <t>Abastecimentos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Data</t>
        </is>
      </c>
      <c r="B3" s="30" t="inlineStr">
        <is>
          <t>Equipamento</t>
        </is>
      </c>
      <c r="C3" s="30" t="inlineStr">
        <is>
          <t>Operador</t>
        </is>
      </c>
      <c r="D3" s="30" t="inlineStr">
        <is>
          <t>Horímetro Inicial</t>
        </is>
      </c>
      <c r="E3" s="30" t="inlineStr">
        <is>
          <t>Horímetro Final</t>
        </is>
      </c>
      <c r="F3" s="30" t="inlineStr">
        <is>
          <t>Horas</t>
        </is>
      </c>
      <c r="G3" s="30" t="inlineStr">
        <is>
          <t>Litros</t>
        </is>
      </c>
      <c r="H3" s="30" t="inlineStr">
        <is>
          <t>Combustível</t>
        </is>
      </c>
      <c r="I3" s="30" t="inlineStr">
        <is>
          <t>ARLA (L)</t>
        </is>
      </c>
      <c r="J3" s="30" t="inlineStr">
        <is>
          <t>KM Rodado</t>
        </is>
      </c>
      <c r="K3" s="30" t="inlineStr">
        <is>
          <t>Média</t>
        </is>
      </c>
      <c r="L3" s="30" t="inlineStr">
        <is>
          <t>Unidade</t>
        </is>
      </c>
      <c r="M3" s="30" t="inlineStr">
        <is>
          <t>Toneladas</t>
        </is>
      </c>
      <c r="N3" s="30" t="inlineStr">
        <is>
          <t>L/Ton</t>
        </is>
      </c>
      <c r="O3" s="30" t="inlineStr">
        <is>
          <t>Situação</t>
        </is>
      </c>
      <c r="P3" s="30" t="inlineStr">
        <is>
          <t>_id</t>
        </is>
      </c>
    </row>
    <row r="4">
      <c r="A4" s="51" t="n">
        <v>46238</v>
      </c>
      <c r="B4" s="52" t="inlineStr">
        <is>
          <t>CB-01</t>
        </is>
      </c>
      <c r="C4" s="52" t="inlineStr">
        <is>
          <t>Carlos</t>
        </is>
      </c>
      <c r="D4" s="52" t="n">
        <v>1000</v>
      </c>
      <c r="E4" s="53" t="n">
        <v>1008.5</v>
      </c>
      <c r="F4" s="53" t="n">
        <v>8.5</v>
      </c>
      <c r="G4" s="53" t="n">
        <v>103</v>
      </c>
      <c r="H4" s="52" t="inlineStr">
        <is>
          <t>S-500</t>
        </is>
      </c>
      <c r="I4" s="53" t="n">
        <v>3</v>
      </c>
      <c r="J4" s="53" t="n">
        <v>207</v>
      </c>
      <c r="K4" s="53" t="n">
        <v>2.01</v>
      </c>
      <c r="L4" s="52" t="inlineStr">
        <is>
          <t>km/L</t>
        </is>
      </c>
      <c r="M4" s="52" t="n">
        <v>210</v>
      </c>
      <c r="N4" s="53" t="n">
        <v>0.49</v>
      </c>
      <c r="O4" s="52" t="inlineStr">
        <is>
          <t>Continua em operação</t>
        </is>
      </c>
      <c r="P4" s="52" t="inlineStr">
        <is>
          <t>EX-A0001</t>
        </is>
      </c>
    </row>
    <row r="5">
      <c r="A5" s="51" t="n">
        <v>46238</v>
      </c>
      <c r="B5" s="52" t="inlineStr">
        <is>
          <t>CB-11</t>
        </is>
      </c>
      <c r="C5" s="52" t="inlineStr">
        <is>
          <t>Antônio</t>
        </is>
      </c>
      <c r="D5" s="52" t="n">
        <v>1130</v>
      </c>
      <c r="E5" s="53" t="n">
        <v>1139.1</v>
      </c>
      <c r="F5" s="53" t="n">
        <v>9.1</v>
      </c>
      <c r="G5" s="53" t="n">
        <v>145</v>
      </c>
      <c r="H5" s="52" t="inlineStr">
        <is>
          <t>S-10</t>
        </is>
      </c>
      <c r="I5" s="52" t="n">
        <v>0</v>
      </c>
      <c r="J5" s="53" t="n">
        <v>305</v>
      </c>
      <c r="K5" s="53" t="n">
        <v>2.1</v>
      </c>
      <c r="L5" s="52" t="inlineStr">
        <is>
          <t>km/L</t>
        </is>
      </c>
      <c r="M5" s="52" t="n">
        <v>320</v>
      </c>
      <c r="N5" s="53" t="n">
        <v>0.45</v>
      </c>
      <c r="O5" s="52" t="inlineStr">
        <is>
          <t>Continua em operação</t>
        </is>
      </c>
      <c r="P5" s="52" t="inlineStr">
        <is>
          <t>EX-A0002</t>
        </is>
      </c>
    </row>
    <row r="6">
      <c r="A6" s="51" t="n">
        <v>46238</v>
      </c>
      <c r="B6" s="52" t="inlineStr">
        <is>
          <t>CB-17</t>
        </is>
      </c>
      <c r="C6" s="52" t="inlineStr">
        <is>
          <t>Marcos</t>
        </is>
      </c>
      <c r="D6" s="52" t="n">
        <v>1260</v>
      </c>
      <c r="E6" s="53" t="n">
        <v>1267.6</v>
      </c>
      <c r="F6" s="53" t="n">
        <v>7.6</v>
      </c>
      <c r="G6" s="53" t="n">
        <v>150</v>
      </c>
      <c r="H6" s="52" t="inlineStr">
        <is>
          <t>S-10</t>
        </is>
      </c>
      <c r="I6" s="52" t="n">
        <v>0</v>
      </c>
      <c r="J6" s="53" t="n">
        <v>302</v>
      </c>
      <c r="K6" s="53" t="n">
        <v>2.01</v>
      </c>
      <c r="L6" s="52" t="inlineStr">
        <is>
          <t>km/L</t>
        </is>
      </c>
      <c r="M6" s="52" t="n">
        <v>330</v>
      </c>
      <c r="N6" s="53" t="n">
        <v>0.45</v>
      </c>
      <c r="O6" s="52" t="inlineStr">
        <is>
          <t>Continua em operação</t>
        </is>
      </c>
      <c r="P6" s="52" t="inlineStr">
        <is>
          <t>EX-A0003</t>
        </is>
      </c>
    </row>
    <row r="7">
      <c r="A7" s="51" t="n">
        <v>46238</v>
      </c>
      <c r="B7" s="52" t="inlineStr">
        <is>
          <t>CB-22</t>
        </is>
      </c>
      <c r="C7" s="52" t="inlineStr">
        <is>
          <t>Saulo</t>
        </is>
      </c>
      <c r="D7" s="52" t="n">
        <v>1390</v>
      </c>
      <c r="E7" s="53" t="n">
        <v>1398.8</v>
      </c>
      <c r="F7" s="53" t="n">
        <v>8.800000000000001</v>
      </c>
      <c r="G7" s="53" t="n">
        <v>137</v>
      </c>
      <c r="H7" s="52" t="inlineStr">
        <is>
          <t>S-10</t>
        </is>
      </c>
      <c r="I7" s="53" t="n">
        <v>4</v>
      </c>
      <c r="J7" s="53" t="n">
        <v>207</v>
      </c>
      <c r="K7" s="53" t="n">
        <v>1.51</v>
      </c>
      <c r="L7" s="52" t="inlineStr">
        <is>
          <t>km/L</t>
        </is>
      </c>
      <c r="M7" s="52" t="n">
        <v>168</v>
      </c>
      <c r="N7" s="53" t="n">
        <v>0.82</v>
      </c>
      <c r="O7" s="52" t="inlineStr">
        <is>
          <t>Continua em operação</t>
        </is>
      </c>
      <c r="P7" s="52" t="inlineStr">
        <is>
          <t>EX-A0004</t>
        </is>
      </c>
    </row>
    <row r="8">
      <c r="A8" s="51" t="n">
        <v>46238</v>
      </c>
      <c r="B8" s="52" t="inlineStr">
        <is>
          <t>PC-01</t>
        </is>
      </c>
      <c r="C8" s="52" t="inlineStr">
        <is>
          <t>José</t>
        </is>
      </c>
      <c r="D8" s="52" t="n">
        <v>1520</v>
      </c>
      <c r="E8" s="53" t="n">
        <v>1527.7</v>
      </c>
      <c r="F8" s="53" t="n">
        <v>7.7</v>
      </c>
      <c r="G8" s="53" t="n">
        <v>148</v>
      </c>
      <c r="H8" s="52" t="inlineStr">
        <is>
          <t>S-10</t>
        </is>
      </c>
      <c r="I8" s="52" t="n">
        <v>0</v>
      </c>
      <c r="J8" s="52" t="n">
        <v>0</v>
      </c>
      <c r="K8" s="53" t="n">
        <v>19.22</v>
      </c>
      <c r="L8" s="52" t="inlineStr">
        <is>
          <t>L/h</t>
        </is>
      </c>
      <c r="M8" s="52" t="inlineStr"/>
      <c r="N8" s="52" t="inlineStr"/>
      <c r="O8" s="52" t="inlineStr">
        <is>
          <t>Continua em operação</t>
        </is>
      </c>
      <c r="P8" s="52" t="inlineStr">
        <is>
          <t>EX-A0005</t>
        </is>
      </c>
    </row>
    <row r="9">
      <c r="A9" s="51" t="n">
        <v>46238</v>
      </c>
      <c r="B9" s="52" t="inlineStr">
        <is>
          <t>PC-02</t>
        </is>
      </c>
      <c r="C9" s="52" t="inlineStr">
        <is>
          <t>Carlos</t>
        </is>
      </c>
      <c r="D9" s="52" t="n">
        <v>1650</v>
      </c>
      <c r="E9" s="53" t="n">
        <v>1657.6</v>
      </c>
      <c r="F9" s="53" t="n">
        <v>7.6</v>
      </c>
      <c r="G9" s="53" t="n">
        <v>139</v>
      </c>
      <c r="H9" s="52" t="inlineStr">
        <is>
          <t>S-10</t>
        </is>
      </c>
      <c r="I9" s="52" t="n">
        <v>0</v>
      </c>
      <c r="J9" s="52" t="n">
        <v>0</v>
      </c>
      <c r="K9" s="53" t="n">
        <v>18.29</v>
      </c>
      <c r="L9" s="52" t="inlineStr">
        <is>
          <t>L/h</t>
        </is>
      </c>
      <c r="M9" s="52" t="inlineStr"/>
      <c r="N9" s="52" t="inlineStr"/>
      <c r="O9" s="52" t="inlineStr">
        <is>
          <t>Continua em operação</t>
        </is>
      </c>
      <c r="P9" s="52" t="inlineStr">
        <is>
          <t>EX-A0006</t>
        </is>
      </c>
    </row>
    <row r="10">
      <c r="A10" s="51" t="n">
        <v>46238</v>
      </c>
      <c r="B10" s="52" t="inlineStr">
        <is>
          <t>RD-01</t>
        </is>
      </c>
      <c r="C10" s="52" t="inlineStr">
        <is>
          <t>Antônio</t>
        </is>
      </c>
      <c r="D10" s="52" t="n">
        <v>1780</v>
      </c>
      <c r="E10" s="53" t="n">
        <v>1789.2</v>
      </c>
      <c r="F10" s="53" t="n">
        <v>9.199999999999999</v>
      </c>
      <c r="G10" s="53" t="n">
        <v>105</v>
      </c>
      <c r="H10" s="52" t="inlineStr">
        <is>
          <t>S-10</t>
        </is>
      </c>
      <c r="I10" s="52" t="n">
        <v>0</v>
      </c>
      <c r="J10" s="52" t="n">
        <v>0</v>
      </c>
      <c r="K10" s="53" t="n">
        <v>11.41</v>
      </c>
      <c r="L10" s="52" t="inlineStr">
        <is>
          <t>L/h</t>
        </is>
      </c>
      <c r="M10" s="52" t="inlineStr"/>
      <c r="N10" s="52" t="inlineStr"/>
      <c r="O10" s="52" t="inlineStr">
        <is>
          <t>Continua em operação</t>
        </is>
      </c>
      <c r="P10" s="52" t="inlineStr">
        <is>
          <t>EX-A0007</t>
        </is>
      </c>
    </row>
    <row r="11">
      <c r="A11" s="51" t="n">
        <v>46238</v>
      </c>
      <c r="B11" s="52" t="inlineStr">
        <is>
          <t>MG-01</t>
        </is>
      </c>
      <c r="C11" s="52" t="inlineStr">
        <is>
          <t>Marcos</t>
        </is>
      </c>
      <c r="D11" s="52" t="n">
        <v>1910</v>
      </c>
      <c r="E11" s="53" t="n">
        <v>1918.8</v>
      </c>
      <c r="F11" s="53" t="n">
        <v>8.800000000000001</v>
      </c>
      <c r="G11" s="53" t="n">
        <v>106</v>
      </c>
      <c r="H11" s="52" t="inlineStr">
        <is>
          <t>S-10</t>
        </is>
      </c>
      <c r="I11" s="52" t="n">
        <v>0</v>
      </c>
      <c r="J11" s="52" t="n">
        <v>0</v>
      </c>
      <c r="K11" s="53" t="n">
        <v>12.05</v>
      </c>
      <c r="L11" s="52" t="inlineStr">
        <is>
          <t>L/h</t>
        </is>
      </c>
      <c r="M11" s="52" t="inlineStr"/>
      <c r="N11" s="52" t="inlineStr"/>
      <c r="O11" s="52" t="inlineStr">
        <is>
          <t>Continua em operação</t>
        </is>
      </c>
      <c r="P11" s="52" t="inlineStr">
        <is>
          <t>EX-A0008</t>
        </is>
      </c>
    </row>
    <row r="12">
      <c r="A12" s="51" t="n">
        <v>46239</v>
      </c>
      <c r="B12" s="52" t="inlineStr">
        <is>
          <t>CB-01</t>
        </is>
      </c>
      <c r="C12" s="52" t="inlineStr">
        <is>
          <t>Antônio</t>
        </is>
      </c>
      <c r="D12" s="53" t="n">
        <v>1008.5</v>
      </c>
      <c r="E12" s="53" t="n">
        <v>1017.7</v>
      </c>
      <c r="F12" s="53" t="n">
        <v>9.199999999999999</v>
      </c>
      <c r="G12" s="53" t="n">
        <v>95</v>
      </c>
      <c r="H12" s="52" t="inlineStr">
        <is>
          <t>S-500</t>
        </is>
      </c>
      <c r="I12" s="53" t="n">
        <v>3</v>
      </c>
      <c r="J12" s="53" t="n">
        <v>202</v>
      </c>
      <c r="K12" s="53" t="n">
        <v>2.13</v>
      </c>
      <c r="L12" s="52" t="inlineStr">
        <is>
          <t>km/L</t>
        </is>
      </c>
      <c r="M12" s="52" t="n">
        <v>196</v>
      </c>
      <c r="N12" s="53" t="n">
        <v>0.48</v>
      </c>
      <c r="O12" s="52" t="inlineStr">
        <is>
          <t>Continua em operação</t>
        </is>
      </c>
      <c r="P12" s="52" t="inlineStr">
        <is>
          <t>EX-A0009</t>
        </is>
      </c>
    </row>
    <row r="13">
      <c r="A13" s="51" t="n">
        <v>46239</v>
      </c>
      <c r="B13" s="52" t="inlineStr">
        <is>
          <t>CB-11</t>
        </is>
      </c>
      <c r="C13" s="52" t="inlineStr">
        <is>
          <t>Marcos</t>
        </is>
      </c>
      <c r="D13" s="53" t="n">
        <v>1139.1</v>
      </c>
      <c r="E13" s="53" t="n">
        <v>1147.7</v>
      </c>
      <c r="F13" s="53" t="n">
        <v>8.6</v>
      </c>
      <c r="G13" s="53" t="n">
        <v>87</v>
      </c>
      <c r="H13" s="52" t="inlineStr">
        <is>
          <t>S-10</t>
        </is>
      </c>
      <c r="I13" s="52" t="n">
        <v>0</v>
      </c>
      <c r="J13" s="53" t="n">
        <v>177</v>
      </c>
      <c r="K13" s="53" t="n">
        <v>2.03</v>
      </c>
      <c r="L13" s="52" t="inlineStr">
        <is>
          <t>km/L</t>
        </is>
      </c>
      <c r="M13" s="52" t="n">
        <v>192</v>
      </c>
      <c r="N13" s="53" t="n">
        <v>0.45</v>
      </c>
      <c r="O13" s="52" t="inlineStr">
        <is>
          <t>Continua em operação</t>
        </is>
      </c>
      <c r="P13" s="52" t="inlineStr">
        <is>
          <t>EX-A0010</t>
        </is>
      </c>
    </row>
    <row r="14">
      <c r="A14" s="51" t="n">
        <v>46239</v>
      </c>
      <c r="B14" s="52" t="inlineStr">
        <is>
          <t>CB-17</t>
        </is>
      </c>
      <c r="C14" s="52" t="inlineStr">
        <is>
          <t>Saulo</t>
        </is>
      </c>
      <c r="D14" s="53" t="n">
        <v>1267.6</v>
      </c>
      <c r="E14" s="53" t="n">
        <v>1277.1</v>
      </c>
      <c r="F14" s="53" t="n">
        <v>9.5</v>
      </c>
      <c r="G14" s="53" t="n">
        <v>158</v>
      </c>
      <c r="H14" s="52" t="inlineStr">
        <is>
          <t>S-10</t>
        </is>
      </c>
      <c r="I14" s="52" t="n">
        <v>0</v>
      </c>
      <c r="J14" s="53" t="n">
        <v>346</v>
      </c>
      <c r="K14" s="53" t="n">
        <v>2.19</v>
      </c>
      <c r="L14" s="52" t="inlineStr">
        <is>
          <t>km/L</t>
        </is>
      </c>
      <c r="M14" s="52" t="n">
        <v>330</v>
      </c>
      <c r="N14" s="53" t="n">
        <v>0.48</v>
      </c>
      <c r="O14" s="52" t="inlineStr">
        <is>
          <t>Continua em operação</t>
        </is>
      </c>
      <c r="P14" s="52" t="inlineStr">
        <is>
          <t>EX-A0011</t>
        </is>
      </c>
    </row>
    <row r="15">
      <c r="A15" s="51" t="n">
        <v>46239</v>
      </c>
      <c r="B15" s="52" t="inlineStr">
        <is>
          <t>CB-22</t>
        </is>
      </c>
      <c r="C15" s="52" t="inlineStr">
        <is>
          <t>José</t>
        </is>
      </c>
      <c r="D15" s="53" t="n">
        <v>1398.8</v>
      </c>
      <c r="E15" s="53" t="n">
        <v>1407.4</v>
      </c>
      <c r="F15" s="53" t="n">
        <v>8.6</v>
      </c>
      <c r="G15" s="53" t="n">
        <v>183</v>
      </c>
      <c r="H15" s="52" t="inlineStr">
        <is>
          <t>S-10</t>
        </is>
      </c>
      <c r="I15" s="53" t="n">
        <v>5</v>
      </c>
      <c r="J15" s="53" t="n">
        <v>267</v>
      </c>
      <c r="K15" s="53" t="n">
        <v>1.46</v>
      </c>
      <c r="L15" s="52" t="inlineStr">
        <is>
          <t>km/L</t>
        </is>
      </c>
      <c r="M15" s="52" t="n">
        <v>224</v>
      </c>
      <c r="N15" s="53" t="n">
        <v>0.82</v>
      </c>
      <c r="O15" s="52" t="inlineStr">
        <is>
          <t>Continua em operação</t>
        </is>
      </c>
      <c r="P15" s="52" t="inlineStr">
        <is>
          <t>EX-A0012</t>
        </is>
      </c>
    </row>
    <row r="16">
      <c r="A16" s="51" t="n">
        <v>46239</v>
      </c>
      <c r="B16" s="52" t="inlineStr">
        <is>
          <t>PC-01</t>
        </is>
      </c>
      <c r="C16" s="52" t="inlineStr">
        <is>
          <t>Carlos</t>
        </is>
      </c>
      <c r="D16" s="53" t="n">
        <v>1527.7</v>
      </c>
      <c r="E16" s="53" t="n">
        <v>1536.9</v>
      </c>
      <c r="F16" s="53" t="n">
        <v>9.199999999999999</v>
      </c>
      <c r="G16" s="53" t="n">
        <v>175</v>
      </c>
      <c r="H16" s="52" t="inlineStr">
        <is>
          <t>S-10</t>
        </is>
      </c>
      <c r="I16" s="52" t="n">
        <v>0</v>
      </c>
      <c r="J16" s="52" t="n">
        <v>0</v>
      </c>
      <c r="K16" s="53" t="n">
        <v>19.02</v>
      </c>
      <c r="L16" s="52" t="inlineStr">
        <is>
          <t>L/h</t>
        </is>
      </c>
      <c r="M16" s="52" t="inlineStr"/>
      <c r="N16" s="52" t="inlineStr"/>
      <c r="O16" s="52" t="inlineStr">
        <is>
          <t>Continua em operação</t>
        </is>
      </c>
      <c r="P16" s="52" t="inlineStr">
        <is>
          <t>EX-A0013</t>
        </is>
      </c>
    </row>
    <row r="17">
      <c r="A17" s="51" t="n">
        <v>46239</v>
      </c>
      <c r="B17" s="52" t="inlineStr">
        <is>
          <t>PC-02</t>
        </is>
      </c>
      <c r="C17" s="52" t="inlineStr">
        <is>
          <t>Antônio</t>
        </is>
      </c>
      <c r="D17" s="53" t="n">
        <v>1657.6</v>
      </c>
      <c r="E17" s="53" t="n">
        <v>1667.7</v>
      </c>
      <c r="F17" s="53" t="n">
        <v>10.1</v>
      </c>
      <c r="G17" s="53" t="n">
        <v>198</v>
      </c>
      <c r="H17" s="52" t="inlineStr">
        <is>
          <t>S-10</t>
        </is>
      </c>
      <c r="I17" s="52" t="n">
        <v>0</v>
      </c>
      <c r="J17" s="52" t="n">
        <v>0</v>
      </c>
      <c r="K17" s="53" t="n">
        <v>19.6</v>
      </c>
      <c r="L17" s="52" t="inlineStr">
        <is>
          <t>L/h</t>
        </is>
      </c>
      <c r="M17" s="52" t="inlineStr"/>
      <c r="N17" s="52" t="inlineStr"/>
      <c r="O17" s="52" t="inlineStr">
        <is>
          <t>Continua em operação</t>
        </is>
      </c>
      <c r="P17" s="52" t="inlineStr">
        <is>
          <t>EX-A0014</t>
        </is>
      </c>
    </row>
    <row r="18">
      <c r="A18" s="51" t="n">
        <v>46239</v>
      </c>
      <c r="B18" s="52" t="inlineStr">
        <is>
          <t>RD-01</t>
        </is>
      </c>
      <c r="C18" s="52" t="inlineStr">
        <is>
          <t>Marcos</t>
        </is>
      </c>
      <c r="D18" s="53" t="n">
        <v>1789.2</v>
      </c>
      <c r="E18" s="53" t="n">
        <v>1797.6</v>
      </c>
      <c r="F18" s="53" t="n">
        <v>8.4</v>
      </c>
      <c r="G18" s="53" t="n">
        <v>108</v>
      </c>
      <c r="H18" s="52" t="inlineStr">
        <is>
          <t>S-10</t>
        </is>
      </c>
      <c r="I18" s="52" t="n">
        <v>0</v>
      </c>
      <c r="J18" s="52" t="n">
        <v>0</v>
      </c>
      <c r="K18" s="53" t="n">
        <v>12.86</v>
      </c>
      <c r="L18" s="52" t="inlineStr">
        <is>
          <t>L/h</t>
        </is>
      </c>
      <c r="M18" s="52" t="inlineStr"/>
      <c r="N18" s="52" t="inlineStr"/>
      <c r="O18" s="52" t="inlineStr">
        <is>
          <t>Continua em operação</t>
        </is>
      </c>
      <c r="P18" s="52" t="inlineStr">
        <is>
          <t>EX-A0015</t>
        </is>
      </c>
    </row>
    <row r="19">
      <c r="A19" s="51" t="n">
        <v>46239</v>
      </c>
      <c r="B19" s="52" t="inlineStr">
        <is>
          <t>MG-01</t>
        </is>
      </c>
      <c r="C19" s="52" t="inlineStr">
        <is>
          <t>Saulo</t>
        </is>
      </c>
      <c r="D19" s="53" t="n">
        <v>1918.8</v>
      </c>
      <c r="E19" s="53" t="n">
        <v>1926.7</v>
      </c>
      <c r="F19" s="53" t="n">
        <v>7.9</v>
      </c>
      <c r="G19" s="53" t="n">
        <v>94</v>
      </c>
      <c r="H19" s="52" t="inlineStr">
        <is>
          <t>S-10</t>
        </is>
      </c>
      <c r="I19" s="52" t="n">
        <v>0</v>
      </c>
      <c r="J19" s="52" t="n">
        <v>0</v>
      </c>
      <c r="K19" s="53" t="n">
        <v>11.9</v>
      </c>
      <c r="L19" s="52" t="inlineStr">
        <is>
          <t>L/h</t>
        </is>
      </c>
      <c r="M19" s="52" t="inlineStr"/>
      <c r="N19" s="52" t="inlineStr"/>
      <c r="O19" s="52" t="inlineStr">
        <is>
          <t>Continua em operação</t>
        </is>
      </c>
      <c r="P19" s="52" t="inlineStr">
        <is>
          <t>EX-A0016</t>
        </is>
      </c>
    </row>
    <row r="20">
      <c r="A20" s="51" t="n">
        <v>46240</v>
      </c>
      <c r="B20" s="52" t="inlineStr">
        <is>
          <t>CB-01</t>
        </is>
      </c>
      <c r="C20" s="52" t="inlineStr">
        <is>
          <t>Marcos</t>
        </is>
      </c>
      <c r="D20" s="53" t="n">
        <v>1017.7</v>
      </c>
      <c r="E20" s="53" t="n">
        <v>1027.5</v>
      </c>
      <c r="F20" s="53" t="n">
        <v>9.800000000000001</v>
      </c>
      <c r="G20" s="53" t="n">
        <v>100</v>
      </c>
      <c r="H20" s="52" t="inlineStr">
        <is>
          <t>S-500</t>
        </is>
      </c>
      <c r="I20" s="53" t="n">
        <v>3</v>
      </c>
      <c r="J20" s="53" t="n">
        <v>220</v>
      </c>
      <c r="K20" s="53" t="n">
        <v>2.2</v>
      </c>
      <c r="L20" s="52" t="inlineStr">
        <is>
          <t>km/L</t>
        </is>
      </c>
      <c r="M20" s="52" t="n">
        <v>210</v>
      </c>
      <c r="N20" s="53" t="n">
        <v>0.48</v>
      </c>
      <c r="O20" s="52" t="inlineStr">
        <is>
          <t>Continua em operação</t>
        </is>
      </c>
      <c r="P20" s="52" t="inlineStr">
        <is>
          <t>EX-A0017</t>
        </is>
      </c>
    </row>
    <row r="21">
      <c r="A21" s="51" t="n">
        <v>46240</v>
      </c>
      <c r="B21" s="52" t="inlineStr">
        <is>
          <t>CB-11</t>
        </is>
      </c>
      <c r="C21" s="52" t="inlineStr">
        <is>
          <t>Saulo</t>
        </is>
      </c>
      <c r="D21" s="53" t="n">
        <v>1147.7</v>
      </c>
      <c r="E21" s="53" t="n">
        <v>1155.4</v>
      </c>
      <c r="F21" s="53" t="n">
        <v>7.7</v>
      </c>
      <c r="G21" s="53" t="n">
        <v>147</v>
      </c>
      <c r="H21" s="52" t="inlineStr">
        <is>
          <t>S-10</t>
        </is>
      </c>
      <c r="I21" s="52" t="n">
        <v>0</v>
      </c>
      <c r="J21" s="53" t="n">
        <v>312</v>
      </c>
      <c r="K21" s="53" t="n">
        <v>2.12</v>
      </c>
      <c r="L21" s="52" t="inlineStr">
        <is>
          <t>km/L</t>
        </is>
      </c>
      <c r="M21" s="52" t="n">
        <v>300</v>
      </c>
      <c r="N21" s="53" t="n">
        <v>0.49</v>
      </c>
      <c r="O21" s="52" t="inlineStr">
        <is>
          <t>Continua em operação</t>
        </is>
      </c>
      <c r="P21" s="52" t="inlineStr">
        <is>
          <t>EX-A0018</t>
        </is>
      </c>
    </row>
    <row r="22">
      <c r="A22" s="51" t="n">
        <v>46240</v>
      </c>
      <c r="B22" s="52" t="inlineStr">
        <is>
          <t>CB-17</t>
        </is>
      </c>
      <c r="C22" s="52" t="inlineStr">
        <is>
          <t>José</t>
        </is>
      </c>
      <c r="D22" s="53" t="n">
        <v>1277.1</v>
      </c>
      <c r="E22" s="53" t="n">
        <v>1286.3</v>
      </c>
      <c r="F22" s="53" t="n">
        <v>9.199999999999999</v>
      </c>
      <c r="G22" s="53" t="n">
        <v>168</v>
      </c>
      <c r="H22" s="52" t="inlineStr">
        <is>
          <t>S-10</t>
        </is>
      </c>
      <c r="I22" s="52" t="n">
        <v>0</v>
      </c>
      <c r="J22" s="53" t="n">
        <v>368</v>
      </c>
      <c r="K22" s="53" t="n">
        <v>2.19</v>
      </c>
      <c r="L22" s="52" t="inlineStr">
        <is>
          <t>km/L</t>
        </is>
      </c>
      <c r="M22" s="52" t="n">
        <v>336</v>
      </c>
      <c r="N22" s="53" t="n">
        <v>0.5</v>
      </c>
      <c r="O22" s="52" t="inlineStr">
        <is>
          <t>Continua em operação</t>
        </is>
      </c>
      <c r="P22" s="52" t="inlineStr">
        <is>
          <t>EX-A0019</t>
        </is>
      </c>
    </row>
    <row r="23">
      <c r="A23" s="51" t="n">
        <v>46240</v>
      </c>
      <c r="B23" s="52" t="inlineStr">
        <is>
          <t>CB-22</t>
        </is>
      </c>
      <c r="C23" s="52" t="inlineStr">
        <is>
          <t>Carlos</t>
        </is>
      </c>
      <c r="D23" s="53" t="n">
        <v>1407.4</v>
      </c>
      <c r="E23" s="53" t="n">
        <v>1416.3</v>
      </c>
      <c r="F23" s="53" t="n">
        <v>8.9</v>
      </c>
      <c r="G23" s="53" t="n">
        <v>138</v>
      </c>
      <c r="H23" s="52" t="inlineStr">
        <is>
          <t>S-10</t>
        </is>
      </c>
      <c r="I23" s="53" t="n">
        <v>4</v>
      </c>
      <c r="J23" s="53" t="n">
        <v>203</v>
      </c>
      <c r="K23" s="53" t="n">
        <v>1.47</v>
      </c>
      <c r="L23" s="52" t="inlineStr">
        <is>
          <t>km/L</t>
        </is>
      </c>
      <c r="M23" s="52" t="n">
        <v>168</v>
      </c>
      <c r="N23" s="53" t="n">
        <v>0.82</v>
      </c>
      <c r="O23" s="52" t="inlineStr">
        <is>
          <t>Continua em operação</t>
        </is>
      </c>
      <c r="P23" s="52" t="inlineStr">
        <is>
          <t>EX-A0020</t>
        </is>
      </c>
    </row>
    <row r="24">
      <c r="A24" s="51" t="n">
        <v>46240</v>
      </c>
      <c r="B24" s="52" t="inlineStr">
        <is>
          <t>PC-01</t>
        </is>
      </c>
      <c r="C24" s="52" t="inlineStr">
        <is>
          <t>Antônio</t>
        </is>
      </c>
      <c r="D24" s="53" t="n">
        <v>1536.9</v>
      </c>
      <c r="E24" s="53" t="n">
        <v>1546.1</v>
      </c>
      <c r="F24" s="53" t="n">
        <v>9.199999999999999</v>
      </c>
      <c r="G24" s="53" t="n">
        <v>179</v>
      </c>
      <c r="H24" s="52" t="inlineStr">
        <is>
          <t>S-10</t>
        </is>
      </c>
      <c r="I24" s="52" t="n">
        <v>0</v>
      </c>
      <c r="J24" s="52" t="n">
        <v>0</v>
      </c>
      <c r="K24" s="53" t="n">
        <v>19.46</v>
      </c>
      <c r="L24" s="52" t="inlineStr">
        <is>
          <t>L/h</t>
        </is>
      </c>
      <c r="M24" s="52" t="inlineStr"/>
      <c r="N24" s="52" t="inlineStr"/>
      <c r="O24" s="52" t="inlineStr">
        <is>
          <t>Continua em operação</t>
        </is>
      </c>
      <c r="P24" s="52" t="inlineStr">
        <is>
          <t>EX-A0021</t>
        </is>
      </c>
    </row>
    <row r="25">
      <c r="A25" s="51" t="n">
        <v>46240</v>
      </c>
      <c r="B25" s="52" t="inlineStr">
        <is>
          <t>PC-02</t>
        </is>
      </c>
      <c r="C25" s="52" t="inlineStr">
        <is>
          <t>Marcos</t>
        </is>
      </c>
      <c r="D25" s="53" t="n">
        <v>1667.7</v>
      </c>
      <c r="E25" s="53" t="n">
        <v>1676.5</v>
      </c>
      <c r="F25" s="53" t="n">
        <v>8.800000000000001</v>
      </c>
      <c r="G25" s="53" t="n">
        <v>172</v>
      </c>
      <c r="H25" s="52" t="inlineStr">
        <is>
          <t>S-10</t>
        </is>
      </c>
      <c r="I25" s="52" t="n">
        <v>0</v>
      </c>
      <c r="J25" s="52" t="n">
        <v>0</v>
      </c>
      <c r="K25" s="53" t="n">
        <v>19.55</v>
      </c>
      <c r="L25" s="52" t="inlineStr">
        <is>
          <t>L/h</t>
        </is>
      </c>
      <c r="M25" s="52" t="inlineStr"/>
      <c r="N25" s="52" t="inlineStr"/>
      <c r="O25" s="52" t="inlineStr">
        <is>
          <t>Continua em operação</t>
        </is>
      </c>
      <c r="P25" s="52" t="inlineStr">
        <is>
          <t>EX-A0022</t>
        </is>
      </c>
    </row>
    <row r="26">
      <c r="A26" s="51" t="n">
        <v>46240</v>
      </c>
      <c r="B26" s="52" t="inlineStr">
        <is>
          <t>RD-01</t>
        </is>
      </c>
      <c r="C26" s="52" t="inlineStr">
        <is>
          <t>Saulo</t>
        </is>
      </c>
      <c r="D26" s="53" t="n">
        <v>1797.6</v>
      </c>
      <c r="E26" s="53" t="n">
        <v>1807.8</v>
      </c>
      <c r="F26" s="53" t="n">
        <v>10.2</v>
      </c>
      <c r="G26" s="53" t="n">
        <v>120</v>
      </c>
      <c r="H26" s="52" t="inlineStr">
        <is>
          <t>S-10</t>
        </is>
      </c>
      <c r="I26" s="52" t="n">
        <v>0</v>
      </c>
      <c r="J26" s="52" t="n">
        <v>0</v>
      </c>
      <c r="K26" s="53" t="n">
        <v>11.76</v>
      </c>
      <c r="L26" s="52" t="inlineStr">
        <is>
          <t>L/h</t>
        </is>
      </c>
      <c r="M26" s="52" t="inlineStr"/>
      <c r="N26" s="52" t="inlineStr"/>
      <c r="O26" s="52" t="inlineStr">
        <is>
          <t>Continua em operação</t>
        </is>
      </c>
      <c r="P26" s="52" t="inlineStr">
        <is>
          <t>EX-A0023</t>
        </is>
      </c>
    </row>
    <row r="27">
      <c r="A27" s="51" t="n">
        <v>46240</v>
      </c>
      <c r="B27" s="52" t="inlineStr">
        <is>
          <t>MG-01</t>
        </is>
      </c>
      <c r="C27" s="52" t="inlineStr">
        <is>
          <t>José</t>
        </is>
      </c>
      <c r="D27" s="53" t="n">
        <v>1926.7</v>
      </c>
      <c r="E27" s="53" t="n">
        <v>1937</v>
      </c>
      <c r="F27" s="53" t="n">
        <v>10.3</v>
      </c>
      <c r="G27" s="53" t="n">
        <v>121</v>
      </c>
      <c r="H27" s="52" t="inlineStr">
        <is>
          <t>S-10</t>
        </is>
      </c>
      <c r="I27" s="52" t="n">
        <v>0</v>
      </c>
      <c r="J27" s="52" t="n">
        <v>0</v>
      </c>
      <c r="K27" s="53" t="n">
        <v>11.75</v>
      </c>
      <c r="L27" s="52" t="inlineStr">
        <is>
          <t>L/h</t>
        </is>
      </c>
      <c r="M27" s="52" t="inlineStr"/>
      <c r="N27" s="52" t="inlineStr"/>
      <c r="O27" s="52" t="inlineStr">
        <is>
          <t>Continua em operação</t>
        </is>
      </c>
      <c r="P27" s="52" t="inlineStr">
        <is>
          <t>EX-A0024</t>
        </is>
      </c>
    </row>
    <row r="28">
      <c r="A28" s="51" t="n">
        <v>46241</v>
      </c>
      <c r="B28" s="52" t="inlineStr">
        <is>
          <t>CB-01</t>
        </is>
      </c>
      <c r="C28" s="52" t="inlineStr">
        <is>
          <t>Saulo</t>
        </is>
      </c>
      <c r="D28" s="53" t="n">
        <v>1027.5</v>
      </c>
      <c r="E28" s="53" t="n">
        <v>1036.8</v>
      </c>
      <c r="F28" s="53" t="n">
        <v>9.300000000000001</v>
      </c>
      <c r="G28" s="53" t="n">
        <v>156</v>
      </c>
      <c r="H28" s="52" t="inlineStr">
        <is>
          <t>S-500</t>
        </is>
      </c>
      <c r="I28" s="53" t="n">
        <v>5</v>
      </c>
      <c r="J28" s="53" t="n">
        <v>321</v>
      </c>
      <c r="K28" s="53" t="n">
        <v>2.06</v>
      </c>
      <c r="L28" s="52" t="inlineStr">
        <is>
          <t>km/L</t>
        </is>
      </c>
      <c r="M28" s="52" t="n">
        <v>336</v>
      </c>
      <c r="N28" s="53" t="n">
        <v>0.46</v>
      </c>
      <c r="O28" s="52" t="inlineStr">
        <is>
          <t>Continua em operação</t>
        </is>
      </c>
      <c r="P28" s="52" t="inlineStr">
        <is>
          <t>EX-A0025</t>
        </is>
      </c>
    </row>
    <row r="29">
      <c r="A29" s="51" t="n">
        <v>46241</v>
      </c>
      <c r="B29" s="52" t="inlineStr">
        <is>
          <t>CB-11</t>
        </is>
      </c>
      <c r="C29" s="52" t="inlineStr">
        <is>
          <t>José</t>
        </is>
      </c>
      <c r="D29" s="53" t="n">
        <v>1155.4</v>
      </c>
      <c r="E29" s="53" t="n">
        <v>1165.1</v>
      </c>
      <c r="F29" s="53" t="n">
        <v>9.699999999999999</v>
      </c>
      <c r="G29" s="53" t="n">
        <v>166</v>
      </c>
      <c r="H29" s="52" t="inlineStr">
        <is>
          <t>S-10</t>
        </is>
      </c>
      <c r="I29" s="52" t="n">
        <v>0</v>
      </c>
      <c r="J29" s="53" t="n">
        <v>348</v>
      </c>
      <c r="K29" s="53" t="n">
        <v>2.1</v>
      </c>
      <c r="L29" s="52" t="inlineStr">
        <is>
          <t>km/L</t>
        </is>
      </c>
      <c r="M29" s="52" t="n">
        <v>330</v>
      </c>
      <c r="N29" s="53" t="n">
        <v>0.5</v>
      </c>
      <c r="O29" s="52" t="inlineStr">
        <is>
          <t>Continua em operação</t>
        </is>
      </c>
      <c r="P29" s="52" t="inlineStr">
        <is>
          <t>EX-A0026</t>
        </is>
      </c>
    </row>
    <row r="30">
      <c r="A30" s="51" t="n">
        <v>46241</v>
      </c>
      <c r="B30" s="52" t="inlineStr">
        <is>
          <t>CB-17</t>
        </is>
      </c>
      <c r="C30" s="52" t="inlineStr">
        <is>
          <t>Carlos</t>
        </is>
      </c>
      <c r="D30" s="53" t="n">
        <v>1286.3</v>
      </c>
      <c r="E30" s="53" t="n">
        <v>1294.3</v>
      </c>
      <c r="F30" s="53" t="n">
        <v>8</v>
      </c>
      <c r="G30" s="53" t="n">
        <v>164</v>
      </c>
      <c r="H30" s="52" t="inlineStr">
        <is>
          <t>S-10</t>
        </is>
      </c>
      <c r="I30" s="52" t="n">
        <v>0</v>
      </c>
      <c r="J30" s="53" t="n">
        <v>332</v>
      </c>
      <c r="K30" s="53" t="n">
        <v>2.02</v>
      </c>
      <c r="L30" s="52" t="inlineStr">
        <is>
          <t>km/L</t>
        </is>
      </c>
      <c r="M30" s="52" t="n">
        <v>352</v>
      </c>
      <c r="N30" s="53" t="n">
        <v>0.47</v>
      </c>
      <c r="O30" s="52" t="inlineStr">
        <is>
          <t>Continua em operação</t>
        </is>
      </c>
      <c r="P30" s="52" t="inlineStr">
        <is>
          <t>EX-A0027</t>
        </is>
      </c>
    </row>
    <row r="31">
      <c r="A31" s="51" t="n">
        <v>46241</v>
      </c>
      <c r="B31" s="52" t="inlineStr">
        <is>
          <t>CB-22</t>
        </is>
      </c>
      <c r="C31" s="52" t="inlineStr">
        <is>
          <t>Antônio</t>
        </is>
      </c>
      <c r="D31" s="53" t="n">
        <v>1416.3</v>
      </c>
      <c r="E31" s="53" t="n">
        <v>1425.1</v>
      </c>
      <c r="F31" s="53" t="n">
        <v>8.800000000000001</v>
      </c>
      <c r="G31" s="53" t="n">
        <v>228</v>
      </c>
      <c r="H31" s="52" t="inlineStr">
        <is>
          <t>S-10</t>
        </is>
      </c>
      <c r="I31" s="53" t="n">
        <v>7</v>
      </c>
      <c r="J31" s="53" t="n">
        <v>337</v>
      </c>
      <c r="K31" s="53" t="n">
        <v>1.48</v>
      </c>
      <c r="L31" s="52" t="inlineStr">
        <is>
          <t>km/L</t>
        </is>
      </c>
      <c r="M31" s="52" t="n">
        <v>288</v>
      </c>
      <c r="N31" s="53" t="n">
        <v>0.79</v>
      </c>
      <c r="O31" s="52" t="inlineStr">
        <is>
          <t>Continua em operação</t>
        </is>
      </c>
      <c r="P31" s="52" t="inlineStr">
        <is>
          <t>EX-A0028</t>
        </is>
      </c>
    </row>
    <row r="32">
      <c r="A32" s="51" t="n">
        <v>46241</v>
      </c>
      <c r="B32" s="52" t="inlineStr">
        <is>
          <t>PC-01</t>
        </is>
      </c>
      <c r="C32" s="52" t="inlineStr">
        <is>
          <t>Marcos</t>
        </is>
      </c>
      <c r="D32" s="53" t="n">
        <v>1546.1</v>
      </c>
      <c r="E32" s="53" t="n">
        <v>1556.3</v>
      </c>
      <c r="F32" s="53" t="n">
        <v>10.2</v>
      </c>
      <c r="G32" s="53" t="n">
        <v>206</v>
      </c>
      <c r="H32" s="52" t="inlineStr">
        <is>
          <t>S-10</t>
        </is>
      </c>
      <c r="I32" s="52" t="n">
        <v>0</v>
      </c>
      <c r="J32" s="52" t="n">
        <v>0</v>
      </c>
      <c r="K32" s="53" t="n">
        <v>20.2</v>
      </c>
      <c r="L32" s="52" t="inlineStr">
        <is>
          <t>L/h</t>
        </is>
      </c>
      <c r="M32" s="52" t="inlineStr"/>
      <c r="N32" s="52" t="inlineStr"/>
      <c r="O32" s="52" t="inlineStr">
        <is>
          <t>Continua em operação</t>
        </is>
      </c>
      <c r="P32" s="52" t="inlineStr">
        <is>
          <t>EX-A0029</t>
        </is>
      </c>
    </row>
    <row r="33">
      <c r="A33" s="51" t="n">
        <v>46241</v>
      </c>
      <c r="B33" s="52" t="inlineStr">
        <is>
          <t>PC-02</t>
        </is>
      </c>
      <c r="C33" s="52" t="inlineStr">
        <is>
          <t>Saulo</t>
        </is>
      </c>
      <c r="D33" s="53" t="n">
        <v>1676.5</v>
      </c>
      <c r="E33" s="53" t="n">
        <v>1684.5</v>
      </c>
      <c r="F33" s="53" t="n">
        <v>8</v>
      </c>
      <c r="G33" s="53" t="n">
        <v>145</v>
      </c>
      <c r="H33" s="52" t="inlineStr">
        <is>
          <t>S-10</t>
        </is>
      </c>
      <c r="I33" s="52" t="n">
        <v>0</v>
      </c>
      <c r="J33" s="52" t="n">
        <v>0</v>
      </c>
      <c r="K33" s="53" t="n">
        <v>18.12</v>
      </c>
      <c r="L33" s="52" t="inlineStr">
        <is>
          <t>L/h</t>
        </is>
      </c>
      <c r="M33" s="52" t="inlineStr"/>
      <c r="N33" s="52" t="inlineStr"/>
      <c r="O33" s="52" t="inlineStr">
        <is>
          <t>Continua em operação</t>
        </is>
      </c>
      <c r="P33" s="52" t="inlineStr">
        <is>
          <t>EX-A0030</t>
        </is>
      </c>
    </row>
    <row r="34">
      <c r="A34" s="51" t="n">
        <v>46241</v>
      </c>
      <c r="B34" s="52" t="inlineStr">
        <is>
          <t>RD-01</t>
        </is>
      </c>
      <c r="C34" s="52" t="inlineStr">
        <is>
          <t>José</t>
        </is>
      </c>
      <c r="D34" s="53" t="n">
        <v>1807.8</v>
      </c>
      <c r="E34" s="53" t="n">
        <v>1816</v>
      </c>
      <c r="F34" s="53" t="n">
        <v>8.199999999999999</v>
      </c>
      <c r="G34" s="53" t="n">
        <v>95</v>
      </c>
      <c r="H34" s="52" t="inlineStr">
        <is>
          <t>S-10</t>
        </is>
      </c>
      <c r="I34" s="52" t="n">
        <v>0</v>
      </c>
      <c r="J34" s="52" t="n">
        <v>0</v>
      </c>
      <c r="K34" s="53" t="n">
        <v>11.59</v>
      </c>
      <c r="L34" s="52" t="inlineStr">
        <is>
          <t>L/h</t>
        </is>
      </c>
      <c r="M34" s="52" t="inlineStr"/>
      <c r="N34" s="52" t="inlineStr"/>
      <c r="O34" s="52" t="inlineStr">
        <is>
          <t>Continua em operação</t>
        </is>
      </c>
      <c r="P34" s="52" t="inlineStr">
        <is>
          <t>EX-A0031</t>
        </is>
      </c>
    </row>
    <row r="35">
      <c r="A35" s="51" t="n">
        <v>46241</v>
      </c>
      <c r="B35" s="52" t="inlineStr">
        <is>
          <t>MG-01</t>
        </is>
      </c>
      <c r="C35" s="52" t="inlineStr">
        <is>
          <t>Carlos</t>
        </is>
      </c>
      <c r="D35" s="53" t="n">
        <v>1937</v>
      </c>
      <c r="E35" s="53" t="n">
        <v>1946</v>
      </c>
      <c r="F35" s="53" t="n">
        <v>9</v>
      </c>
      <c r="G35" s="53" t="n">
        <v>109</v>
      </c>
      <c r="H35" s="52" t="inlineStr">
        <is>
          <t>S-10</t>
        </is>
      </c>
      <c r="I35" s="52" t="n">
        <v>0</v>
      </c>
      <c r="J35" s="52" t="n">
        <v>0</v>
      </c>
      <c r="K35" s="53" t="n">
        <v>12.11</v>
      </c>
      <c r="L35" s="52" t="inlineStr">
        <is>
          <t>L/h</t>
        </is>
      </c>
      <c r="M35" s="52" t="inlineStr"/>
      <c r="N35" s="52" t="inlineStr"/>
      <c r="O35" s="52" t="inlineStr">
        <is>
          <t>Continua em operação</t>
        </is>
      </c>
      <c r="P35" s="52" t="inlineStr">
        <is>
          <t>EX-A0032</t>
        </is>
      </c>
    </row>
    <row r="36">
      <c r="A36" s="51" t="n">
        <v>46242</v>
      </c>
      <c r="B36" s="52" t="inlineStr">
        <is>
          <t>CB-01</t>
        </is>
      </c>
      <c r="C36" s="52" t="inlineStr">
        <is>
          <t>José</t>
        </is>
      </c>
      <c r="D36" s="53" t="n">
        <v>1036.8</v>
      </c>
      <c r="E36" s="53" t="n">
        <v>1045.1</v>
      </c>
      <c r="F36" s="53" t="n">
        <v>8.300000000000001</v>
      </c>
      <c r="G36" s="53" t="n">
        <v>67</v>
      </c>
      <c r="H36" s="52" t="inlineStr">
        <is>
          <t>S-500</t>
        </is>
      </c>
      <c r="I36" s="53" t="n">
        <v>2</v>
      </c>
      <c r="J36" s="53" t="n">
        <v>139</v>
      </c>
      <c r="K36" s="53" t="n">
        <v>2.07</v>
      </c>
      <c r="L36" s="52" t="inlineStr">
        <is>
          <t>km/L</t>
        </is>
      </c>
      <c r="M36" s="52" t="n">
        <v>140</v>
      </c>
      <c r="N36" s="53" t="n">
        <v>0.48</v>
      </c>
      <c r="O36" s="52" t="inlineStr">
        <is>
          <t>Continua em operação</t>
        </is>
      </c>
      <c r="P36" s="52" t="inlineStr">
        <is>
          <t>EX-A0033</t>
        </is>
      </c>
    </row>
    <row r="37">
      <c r="A37" s="51" t="n">
        <v>46242</v>
      </c>
      <c r="B37" s="52" t="inlineStr">
        <is>
          <t>CB-11</t>
        </is>
      </c>
      <c r="C37" s="52" t="inlineStr">
        <is>
          <t>Carlos</t>
        </is>
      </c>
      <c r="D37" s="53" t="n">
        <v>1165.1</v>
      </c>
      <c r="E37" s="53" t="n">
        <v>1174.3</v>
      </c>
      <c r="F37" s="53" t="n">
        <v>9.199999999999999</v>
      </c>
      <c r="G37" s="53" t="n">
        <v>112</v>
      </c>
      <c r="H37" s="52" t="inlineStr">
        <is>
          <t>S-10</t>
        </is>
      </c>
      <c r="I37" s="52" t="n">
        <v>0</v>
      </c>
      <c r="J37" s="53" t="n">
        <v>246</v>
      </c>
      <c r="K37" s="53" t="n">
        <v>2.2</v>
      </c>
      <c r="L37" s="52" t="inlineStr">
        <is>
          <t>km/L</t>
        </is>
      </c>
      <c r="M37" s="52" t="n">
        <v>224</v>
      </c>
      <c r="N37" s="53" t="n">
        <v>0.5</v>
      </c>
      <c r="O37" s="52" t="inlineStr">
        <is>
          <t>Continua em operação</t>
        </is>
      </c>
      <c r="P37" s="52" t="inlineStr">
        <is>
          <t>EX-A0034</t>
        </is>
      </c>
    </row>
    <row r="38">
      <c r="A38" s="51" t="n">
        <v>46242</v>
      </c>
      <c r="B38" s="52" t="inlineStr">
        <is>
          <t>CB-17</t>
        </is>
      </c>
      <c r="C38" s="52" t="inlineStr">
        <is>
          <t>Antônio</t>
        </is>
      </c>
      <c r="D38" s="53" t="n">
        <v>1294.3</v>
      </c>
      <c r="E38" s="53" t="n">
        <v>1303.8</v>
      </c>
      <c r="F38" s="53" t="n">
        <v>9.5</v>
      </c>
      <c r="G38" s="53" t="n">
        <v>75</v>
      </c>
      <c r="H38" s="52" t="inlineStr">
        <is>
          <t>S-10</t>
        </is>
      </c>
      <c r="I38" s="52" t="n">
        <v>0</v>
      </c>
      <c r="J38" s="53" t="n">
        <v>162</v>
      </c>
      <c r="K38" s="53" t="n">
        <v>2.16</v>
      </c>
      <c r="L38" s="52" t="inlineStr">
        <is>
          <t>km/L</t>
        </is>
      </c>
      <c r="M38" s="52" t="n">
        <v>150</v>
      </c>
      <c r="N38" s="53" t="n">
        <v>0.5</v>
      </c>
      <c r="O38" s="52" t="inlineStr">
        <is>
          <t>Continua em operação</t>
        </is>
      </c>
      <c r="P38" s="52" t="inlineStr">
        <is>
          <t>EX-A0035</t>
        </is>
      </c>
    </row>
    <row r="39">
      <c r="A39" s="51" t="n">
        <v>46242</v>
      </c>
      <c r="B39" s="52" t="inlineStr">
        <is>
          <t>CB-22</t>
        </is>
      </c>
      <c r="C39" s="52" t="inlineStr">
        <is>
          <t>Marcos</t>
        </is>
      </c>
      <c r="D39" s="53" t="n">
        <v>1425.1</v>
      </c>
      <c r="E39" s="53" t="n">
        <v>1435.2</v>
      </c>
      <c r="F39" s="53" t="n">
        <v>10.1</v>
      </c>
      <c r="G39" s="53" t="n">
        <v>261</v>
      </c>
      <c r="H39" s="52" t="inlineStr">
        <is>
          <t>S-10</t>
        </is>
      </c>
      <c r="I39" s="53" t="n">
        <v>8</v>
      </c>
      <c r="J39" s="53" t="n">
        <v>376</v>
      </c>
      <c r="K39" s="53" t="n">
        <v>1.44</v>
      </c>
      <c r="L39" s="52" t="inlineStr">
        <is>
          <t>km/L</t>
        </is>
      </c>
      <c r="M39" s="52" t="n">
        <v>330</v>
      </c>
      <c r="N39" s="53" t="n">
        <v>0.79</v>
      </c>
      <c r="O39" s="52" t="inlineStr">
        <is>
          <t>Continua em operação</t>
        </is>
      </c>
      <c r="P39" s="52" t="inlineStr">
        <is>
          <t>EX-A0036</t>
        </is>
      </c>
    </row>
    <row r="40">
      <c r="A40" s="51" t="n">
        <v>46242</v>
      </c>
      <c r="B40" s="52" t="inlineStr">
        <is>
          <t>PC-01</t>
        </is>
      </c>
      <c r="C40" s="52" t="inlineStr">
        <is>
          <t>Saulo</t>
        </is>
      </c>
      <c r="D40" s="53" t="n">
        <v>1556.3</v>
      </c>
      <c r="E40" s="53" t="n">
        <v>1565.7</v>
      </c>
      <c r="F40" s="53" t="n">
        <v>9.4</v>
      </c>
      <c r="G40" s="53" t="n">
        <v>168</v>
      </c>
      <c r="H40" s="52" t="inlineStr">
        <is>
          <t>S-10</t>
        </is>
      </c>
      <c r="I40" s="52" t="n">
        <v>0</v>
      </c>
      <c r="J40" s="52" t="n">
        <v>0</v>
      </c>
      <c r="K40" s="53" t="n">
        <v>17.87</v>
      </c>
      <c r="L40" s="52" t="inlineStr">
        <is>
          <t>L/h</t>
        </is>
      </c>
      <c r="M40" s="52" t="inlineStr"/>
      <c r="N40" s="52" t="inlineStr"/>
      <c r="O40" s="52" t="inlineStr">
        <is>
          <t>Continua em operação</t>
        </is>
      </c>
      <c r="P40" s="52" t="inlineStr">
        <is>
          <t>EX-A0037</t>
        </is>
      </c>
    </row>
    <row r="41">
      <c r="A41" s="51" t="n">
        <v>46242</v>
      </c>
      <c r="B41" s="52" t="inlineStr">
        <is>
          <t>PC-02</t>
        </is>
      </c>
      <c r="C41" s="52" t="inlineStr">
        <is>
          <t>José</t>
        </is>
      </c>
      <c r="D41" s="53" t="n">
        <v>1684.5</v>
      </c>
      <c r="E41" s="53" t="n">
        <v>1692.2</v>
      </c>
      <c r="F41" s="53" t="n">
        <v>7.7</v>
      </c>
      <c r="G41" s="53" t="n">
        <v>140</v>
      </c>
      <c r="H41" s="52" t="inlineStr">
        <is>
          <t>S-10</t>
        </is>
      </c>
      <c r="I41" s="52" t="n">
        <v>0</v>
      </c>
      <c r="J41" s="52" t="n">
        <v>0</v>
      </c>
      <c r="K41" s="53" t="n">
        <v>18.18</v>
      </c>
      <c r="L41" s="52" t="inlineStr">
        <is>
          <t>L/h</t>
        </is>
      </c>
      <c r="M41" s="52" t="inlineStr"/>
      <c r="N41" s="52" t="inlineStr"/>
      <c r="O41" s="52" t="inlineStr">
        <is>
          <t>Continua em operação</t>
        </is>
      </c>
      <c r="P41" s="52" t="inlineStr">
        <is>
          <t>EX-A0038</t>
        </is>
      </c>
    </row>
    <row r="42">
      <c r="A42" s="51" t="n">
        <v>46242</v>
      </c>
      <c r="B42" s="52" t="inlineStr">
        <is>
          <t>RD-01</t>
        </is>
      </c>
      <c r="C42" s="52" t="inlineStr">
        <is>
          <t>Carlos</t>
        </is>
      </c>
      <c r="D42" s="53" t="n">
        <v>1816</v>
      </c>
      <c r="E42" s="53" t="n">
        <v>1824</v>
      </c>
      <c r="F42" s="53" t="n">
        <v>8</v>
      </c>
      <c r="G42" s="53" t="n">
        <v>94</v>
      </c>
      <c r="H42" s="52" t="inlineStr">
        <is>
          <t>S-10</t>
        </is>
      </c>
      <c r="I42" s="52" t="n">
        <v>0</v>
      </c>
      <c r="J42" s="52" t="n">
        <v>0</v>
      </c>
      <c r="K42" s="53" t="n">
        <v>11.75</v>
      </c>
      <c r="L42" s="52" t="inlineStr">
        <is>
          <t>L/h</t>
        </is>
      </c>
      <c r="M42" s="52" t="inlineStr"/>
      <c r="N42" s="52" t="inlineStr"/>
      <c r="O42" s="52" t="inlineStr">
        <is>
          <t>Continua em operação</t>
        </is>
      </c>
      <c r="P42" s="52" t="inlineStr">
        <is>
          <t>EX-A0039</t>
        </is>
      </c>
    </row>
    <row r="43">
      <c r="A43" s="51" t="n">
        <v>46242</v>
      </c>
      <c r="B43" s="52" t="inlineStr">
        <is>
          <t>MG-01</t>
        </is>
      </c>
      <c r="C43" s="52" t="inlineStr">
        <is>
          <t>Antônio</t>
        </is>
      </c>
      <c r="D43" s="53" t="n">
        <v>1946</v>
      </c>
      <c r="E43" s="53" t="n">
        <v>1953.7</v>
      </c>
      <c r="F43" s="53" t="n">
        <v>7.7</v>
      </c>
      <c r="G43" s="53" t="n">
        <v>86</v>
      </c>
      <c r="H43" s="52" t="inlineStr">
        <is>
          <t>S-10</t>
        </is>
      </c>
      <c r="I43" s="52" t="n">
        <v>0</v>
      </c>
      <c r="J43" s="52" t="n">
        <v>0</v>
      </c>
      <c r="K43" s="53" t="n">
        <v>11.17</v>
      </c>
      <c r="L43" s="52" t="inlineStr">
        <is>
          <t>L/h</t>
        </is>
      </c>
      <c r="M43" s="52" t="inlineStr"/>
      <c r="N43" s="52" t="inlineStr"/>
      <c r="O43" s="52" t="inlineStr">
        <is>
          <t>Continua em operação</t>
        </is>
      </c>
      <c r="P43" s="52" t="inlineStr">
        <is>
          <t>EX-A0040</t>
        </is>
      </c>
    </row>
    <row r="44">
      <c r="A44" s="51" t="n">
        <v>46244</v>
      </c>
      <c r="B44" s="52" t="inlineStr">
        <is>
          <t>CB-01</t>
        </is>
      </c>
      <c r="C44" s="52" t="inlineStr">
        <is>
          <t>Antônio</t>
        </is>
      </c>
      <c r="D44" s="53" t="n">
        <v>1045.1</v>
      </c>
      <c r="E44" s="53" t="n">
        <v>1053.1</v>
      </c>
      <c r="F44" s="53" t="n">
        <v>8</v>
      </c>
      <c r="G44" s="53" t="n">
        <v>88</v>
      </c>
      <c r="H44" s="52" t="inlineStr">
        <is>
          <t>S-500</t>
        </is>
      </c>
      <c r="I44" s="53" t="n">
        <v>3</v>
      </c>
      <c r="J44" s="53" t="n">
        <v>177</v>
      </c>
      <c r="K44" s="53" t="n">
        <v>2.01</v>
      </c>
      <c r="L44" s="52" t="inlineStr">
        <is>
          <t>km/L</t>
        </is>
      </c>
      <c r="M44" s="52" t="n">
        <v>180</v>
      </c>
      <c r="N44" s="53" t="n">
        <v>0.49</v>
      </c>
      <c r="O44" s="52" t="inlineStr">
        <is>
          <t>Continua em operação</t>
        </is>
      </c>
      <c r="P44" s="52" t="inlineStr">
        <is>
          <t>EX-A0041</t>
        </is>
      </c>
    </row>
    <row r="45">
      <c r="A45" s="51" t="n">
        <v>46244</v>
      </c>
      <c r="B45" s="52" t="inlineStr">
        <is>
          <t>CB-11</t>
        </is>
      </c>
      <c r="C45" s="52" t="inlineStr">
        <is>
          <t>Marcos</t>
        </is>
      </c>
      <c r="D45" s="53" t="n">
        <v>1174.3</v>
      </c>
      <c r="E45" s="53" t="n">
        <v>1182.4</v>
      </c>
      <c r="F45" s="53" t="n">
        <v>8.1</v>
      </c>
      <c r="G45" s="53" t="n">
        <v>150</v>
      </c>
      <c r="H45" s="52" t="inlineStr">
        <is>
          <t>S-10</t>
        </is>
      </c>
      <c r="I45" s="52" t="n">
        <v>0</v>
      </c>
      <c r="J45" s="53" t="n">
        <v>329</v>
      </c>
      <c r="K45" s="53" t="n">
        <v>2.19</v>
      </c>
      <c r="L45" s="52" t="inlineStr">
        <is>
          <t>km/L</t>
        </is>
      </c>
      <c r="M45" s="52" t="n">
        <v>308</v>
      </c>
      <c r="N45" s="53" t="n">
        <v>0.49</v>
      </c>
      <c r="O45" s="52" t="inlineStr">
        <is>
          <t>Continua em operação</t>
        </is>
      </c>
      <c r="P45" s="52" t="inlineStr">
        <is>
          <t>EX-A0042</t>
        </is>
      </c>
    </row>
    <row r="46">
      <c r="A46" s="51" t="n">
        <v>46244</v>
      </c>
      <c r="B46" s="52" t="inlineStr">
        <is>
          <t>CB-17</t>
        </is>
      </c>
      <c r="C46" s="52" t="inlineStr">
        <is>
          <t>Saulo</t>
        </is>
      </c>
      <c r="D46" s="53" t="n">
        <v>1303.8</v>
      </c>
      <c r="E46" s="53" t="n">
        <v>1313.1</v>
      </c>
      <c r="F46" s="53" t="n">
        <v>9.300000000000001</v>
      </c>
      <c r="G46" s="53" t="n">
        <v>154</v>
      </c>
      <c r="H46" s="52" t="inlineStr">
        <is>
          <t>S-10</t>
        </is>
      </c>
      <c r="I46" s="52" t="n">
        <v>0</v>
      </c>
      <c r="J46" s="53" t="n">
        <v>323</v>
      </c>
      <c r="K46" s="53" t="n">
        <v>2.1</v>
      </c>
      <c r="L46" s="52" t="inlineStr">
        <is>
          <t>km/L</t>
        </is>
      </c>
      <c r="M46" s="52" t="n">
        <v>336</v>
      </c>
      <c r="N46" s="53" t="n">
        <v>0.46</v>
      </c>
      <c r="O46" s="52" t="inlineStr">
        <is>
          <t>Continua em operação</t>
        </is>
      </c>
      <c r="P46" s="52" t="inlineStr">
        <is>
          <t>EX-A0043</t>
        </is>
      </c>
    </row>
    <row r="47">
      <c r="A47" s="51" t="n">
        <v>46244</v>
      </c>
      <c r="B47" s="52" t="inlineStr">
        <is>
          <t>CB-22</t>
        </is>
      </c>
      <c r="C47" s="52" t="inlineStr">
        <is>
          <t>José</t>
        </is>
      </c>
      <c r="D47" s="53" t="n">
        <v>1435.2</v>
      </c>
      <c r="E47" s="53" t="n">
        <v>1445.6</v>
      </c>
      <c r="F47" s="53" t="n">
        <v>10.4</v>
      </c>
      <c r="G47" s="53" t="n">
        <v>281</v>
      </c>
      <c r="H47" s="52" t="inlineStr">
        <is>
          <t>S-10</t>
        </is>
      </c>
      <c r="I47" s="53" t="n">
        <v>8</v>
      </c>
      <c r="J47" s="53" t="n">
        <v>406</v>
      </c>
      <c r="K47" s="53" t="n">
        <v>1.44</v>
      </c>
      <c r="L47" s="52" t="inlineStr">
        <is>
          <t>km/L</t>
        </is>
      </c>
      <c r="M47" s="52" t="n">
        <v>360</v>
      </c>
      <c r="N47" s="53" t="n">
        <v>0.78</v>
      </c>
      <c r="O47" s="52" t="inlineStr">
        <is>
          <t>Continua em operação</t>
        </is>
      </c>
      <c r="P47" s="52" t="inlineStr">
        <is>
          <t>EX-A0044</t>
        </is>
      </c>
    </row>
    <row r="48">
      <c r="A48" s="51" t="n">
        <v>46244</v>
      </c>
      <c r="B48" s="52" t="inlineStr">
        <is>
          <t>PC-01</t>
        </is>
      </c>
      <c r="C48" s="52" t="inlineStr">
        <is>
          <t>Carlos</t>
        </is>
      </c>
      <c r="D48" s="53" t="n">
        <v>1565.7</v>
      </c>
      <c r="E48" s="53" t="n">
        <v>1575.4</v>
      </c>
      <c r="F48" s="53" t="n">
        <v>9.699999999999999</v>
      </c>
      <c r="G48" s="53" t="n">
        <v>191</v>
      </c>
      <c r="H48" s="52" t="inlineStr">
        <is>
          <t>S-10</t>
        </is>
      </c>
      <c r="I48" s="52" t="n">
        <v>0</v>
      </c>
      <c r="J48" s="52" t="n">
        <v>0</v>
      </c>
      <c r="K48" s="53" t="n">
        <v>19.69</v>
      </c>
      <c r="L48" s="52" t="inlineStr">
        <is>
          <t>L/h</t>
        </is>
      </c>
      <c r="M48" s="52" t="inlineStr"/>
      <c r="N48" s="52" t="inlineStr"/>
      <c r="O48" s="52" t="inlineStr">
        <is>
          <t>Continua em operação</t>
        </is>
      </c>
      <c r="P48" s="52" t="inlineStr">
        <is>
          <t>EX-A0045</t>
        </is>
      </c>
    </row>
    <row r="49">
      <c r="A49" s="51" t="n">
        <v>46244</v>
      </c>
      <c r="B49" s="52" t="inlineStr">
        <is>
          <t>PC-02</t>
        </is>
      </c>
      <c r="C49" s="52" t="inlineStr">
        <is>
          <t>Antônio</t>
        </is>
      </c>
      <c r="D49" s="53" t="n">
        <v>1692.2</v>
      </c>
      <c r="E49" s="53" t="n">
        <v>1701.1</v>
      </c>
      <c r="F49" s="53" t="n">
        <v>8.9</v>
      </c>
      <c r="G49" s="53" t="n">
        <v>174</v>
      </c>
      <c r="H49" s="52" t="inlineStr">
        <is>
          <t>S-10</t>
        </is>
      </c>
      <c r="I49" s="52" t="n">
        <v>0</v>
      </c>
      <c r="J49" s="52" t="n">
        <v>0</v>
      </c>
      <c r="K49" s="53" t="n">
        <v>19.55</v>
      </c>
      <c r="L49" s="52" t="inlineStr">
        <is>
          <t>L/h</t>
        </is>
      </c>
      <c r="M49" s="52" t="inlineStr"/>
      <c r="N49" s="52" t="inlineStr"/>
      <c r="O49" s="52" t="inlineStr">
        <is>
          <t>Continua em operação</t>
        </is>
      </c>
      <c r="P49" s="52" t="inlineStr">
        <is>
          <t>EX-A0046</t>
        </is>
      </c>
    </row>
    <row r="50">
      <c r="A50" s="51" t="n">
        <v>46244</v>
      </c>
      <c r="B50" s="52" t="inlineStr">
        <is>
          <t>RD-01</t>
        </is>
      </c>
      <c r="C50" s="52" t="inlineStr">
        <is>
          <t>Marcos</t>
        </is>
      </c>
      <c r="D50" s="53" t="n">
        <v>1824</v>
      </c>
      <c r="E50" s="53" t="n">
        <v>1833</v>
      </c>
      <c r="F50" s="53" t="n">
        <v>9</v>
      </c>
      <c r="G50" s="53" t="n">
        <v>104</v>
      </c>
      <c r="H50" s="52" t="inlineStr">
        <is>
          <t>S-10</t>
        </is>
      </c>
      <c r="I50" s="52" t="n">
        <v>0</v>
      </c>
      <c r="J50" s="52" t="n">
        <v>0</v>
      </c>
      <c r="K50" s="53" t="n">
        <v>11.56</v>
      </c>
      <c r="L50" s="52" t="inlineStr">
        <is>
          <t>L/h</t>
        </is>
      </c>
      <c r="M50" s="52" t="inlineStr"/>
      <c r="N50" s="52" t="inlineStr"/>
      <c r="O50" s="52" t="inlineStr">
        <is>
          <t>Continua em operação</t>
        </is>
      </c>
      <c r="P50" s="52" t="inlineStr">
        <is>
          <t>EX-A0047</t>
        </is>
      </c>
    </row>
    <row r="51">
      <c r="A51" s="51" t="n">
        <v>46244</v>
      </c>
      <c r="B51" s="52" t="inlineStr">
        <is>
          <t>MG-01</t>
        </is>
      </c>
      <c r="C51" s="52" t="inlineStr">
        <is>
          <t>Saulo</t>
        </is>
      </c>
      <c r="D51" s="53" t="n">
        <v>1953.7</v>
      </c>
      <c r="E51" s="53" t="n">
        <v>1964.1</v>
      </c>
      <c r="F51" s="53" t="n">
        <v>10.4</v>
      </c>
      <c r="G51" s="53" t="n">
        <v>122</v>
      </c>
      <c r="H51" s="52" t="inlineStr">
        <is>
          <t>S-10</t>
        </is>
      </c>
      <c r="I51" s="52" t="n">
        <v>0</v>
      </c>
      <c r="J51" s="52" t="n">
        <v>0</v>
      </c>
      <c r="K51" s="53" t="n">
        <v>11.73</v>
      </c>
      <c r="L51" s="52" t="inlineStr">
        <is>
          <t>L/h</t>
        </is>
      </c>
      <c r="M51" s="52" t="inlineStr"/>
      <c r="N51" s="52" t="inlineStr"/>
      <c r="O51" s="52" t="inlineStr">
        <is>
          <t>Continua em operação</t>
        </is>
      </c>
      <c r="P51" s="52" t="inlineStr">
        <is>
          <t>EX-A0048</t>
        </is>
      </c>
    </row>
    <row r="52">
      <c r="A52" s="51" t="n">
        <v>46245</v>
      </c>
      <c r="B52" s="52" t="inlineStr">
        <is>
          <t>CB-01</t>
        </is>
      </c>
      <c r="C52" s="52" t="inlineStr">
        <is>
          <t>Marcos</t>
        </is>
      </c>
      <c r="D52" s="53" t="n">
        <v>1053.1</v>
      </c>
      <c r="E52" s="53" t="n">
        <v>1062.7</v>
      </c>
      <c r="F52" s="53" t="n">
        <v>9.6</v>
      </c>
      <c r="G52" s="53" t="n">
        <v>75</v>
      </c>
      <c r="H52" s="52" t="inlineStr">
        <is>
          <t>S-500</t>
        </is>
      </c>
      <c r="I52" s="53" t="n">
        <v>2</v>
      </c>
      <c r="J52" s="53" t="n">
        <v>160</v>
      </c>
      <c r="K52" s="53" t="n">
        <v>2.13</v>
      </c>
      <c r="L52" s="52" t="inlineStr">
        <is>
          <t>km/L</t>
        </is>
      </c>
      <c r="M52" s="52" t="n">
        <v>160</v>
      </c>
      <c r="N52" s="53" t="n">
        <v>0.47</v>
      </c>
      <c r="O52" s="52" t="inlineStr">
        <is>
          <t>Continua em operação</t>
        </is>
      </c>
      <c r="P52" s="52" t="inlineStr">
        <is>
          <t>EX-A0049</t>
        </is>
      </c>
    </row>
    <row r="53">
      <c r="A53" s="51" t="n">
        <v>46245</v>
      </c>
      <c r="B53" s="52" t="inlineStr">
        <is>
          <t>CB-11</t>
        </is>
      </c>
      <c r="C53" s="52" t="inlineStr">
        <is>
          <t>Saulo</t>
        </is>
      </c>
      <c r="D53" s="53" t="n">
        <v>1182.4</v>
      </c>
      <c r="E53" s="53" t="n">
        <v>1190.2</v>
      </c>
      <c r="F53" s="53" t="n">
        <v>7.8</v>
      </c>
      <c r="G53" s="53" t="n">
        <v>136</v>
      </c>
      <c r="H53" s="52" t="inlineStr">
        <is>
          <t>S-10</t>
        </is>
      </c>
      <c r="I53" s="52" t="n">
        <v>0</v>
      </c>
      <c r="J53" s="53" t="n">
        <v>276</v>
      </c>
      <c r="K53" s="53" t="n">
        <v>2.03</v>
      </c>
      <c r="L53" s="52" t="inlineStr">
        <is>
          <t>km/L</t>
        </is>
      </c>
      <c r="M53" s="52" t="n">
        <v>288</v>
      </c>
      <c r="N53" s="53" t="n">
        <v>0.47</v>
      </c>
      <c r="O53" s="52" t="inlineStr">
        <is>
          <t>Continua em operação</t>
        </is>
      </c>
      <c r="P53" s="52" t="inlineStr">
        <is>
          <t>EX-A0050</t>
        </is>
      </c>
    </row>
    <row r="54">
      <c r="A54" s="51" t="n">
        <v>46245</v>
      </c>
      <c r="B54" s="52" t="inlineStr">
        <is>
          <t>CB-17</t>
        </is>
      </c>
      <c r="C54" s="52" t="inlineStr">
        <is>
          <t>José</t>
        </is>
      </c>
      <c r="D54" s="53" t="n">
        <v>1313.1</v>
      </c>
      <c r="E54" s="53" t="n">
        <v>1322.9</v>
      </c>
      <c r="F54" s="53" t="n">
        <v>9.800000000000001</v>
      </c>
      <c r="G54" s="53" t="n">
        <v>148</v>
      </c>
      <c r="H54" s="52" t="inlineStr">
        <is>
          <t>S-10</t>
        </is>
      </c>
      <c r="I54" s="52" t="n">
        <v>0</v>
      </c>
      <c r="J54" s="53" t="n">
        <v>320</v>
      </c>
      <c r="K54" s="53" t="n">
        <v>2.16</v>
      </c>
      <c r="L54" s="52" t="inlineStr">
        <is>
          <t>km/L</t>
        </is>
      </c>
      <c r="M54" s="52" t="n">
        <v>320</v>
      </c>
      <c r="N54" s="53" t="n">
        <v>0.46</v>
      </c>
      <c r="O54" s="52" t="inlineStr">
        <is>
          <t>Continua em operação</t>
        </is>
      </c>
      <c r="P54" s="52" t="inlineStr">
        <is>
          <t>EX-A0051</t>
        </is>
      </c>
    </row>
    <row r="55">
      <c r="A55" s="51" t="n">
        <v>46245</v>
      </c>
      <c r="B55" s="52" t="inlineStr">
        <is>
          <t>CB-22</t>
        </is>
      </c>
      <c r="C55" s="52" t="inlineStr">
        <is>
          <t>Carlos</t>
        </is>
      </c>
      <c r="D55" s="53" t="n">
        <v>1445.6</v>
      </c>
      <c r="E55" s="53" t="n">
        <v>1456.1</v>
      </c>
      <c r="F55" s="53" t="n">
        <v>10.5</v>
      </c>
      <c r="G55" s="53" t="n">
        <v>186</v>
      </c>
      <c r="H55" s="52" t="inlineStr">
        <is>
          <t>S-10</t>
        </is>
      </c>
      <c r="I55" s="53" t="n">
        <v>6</v>
      </c>
      <c r="J55" s="53" t="n">
        <v>286</v>
      </c>
      <c r="K55" s="53" t="n">
        <v>1.54</v>
      </c>
      <c r="L55" s="52" t="inlineStr">
        <is>
          <t>km/L</t>
        </is>
      </c>
      <c r="M55" s="52" t="n">
        <v>224</v>
      </c>
      <c r="N55" s="53" t="n">
        <v>0.83</v>
      </c>
      <c r="O55" s="52" t="inlineStr">
        <is>
          <t>Continua em operação</t>
        </is>
      </c>
      <c r="P55" s="52" t="inlineStr">
        <is>
          <t>EX-A0052</t>
        </is>
      </c>
    </row>
    <row r="56">
      <c r="A56" s="51" t="n">
        <v>46245</v>
      </c>
      <c r="B56" s="52" t="inlineStr">
        <is>
          <t>PC-01</t>
        </is>
      </c>
      <c r="C56" s="52" t="inlineStr">
        <is>
          <t>Antônio</t>
        </is>
      </c>
      <c r="D56" s="53" t="n">
        <v>1575.4</v>
      </c>
      <c r="E56" s="53" t="n">
        <v>1583.6</v>
      </c>
      <c r="F56" s="53" t="n">
        <v>8.199999999999999</v>
      </c>
      <c r="G56" s="53" t="n">
        <v>156</v>
      </c>
      <c r="H56" s="52" t="inlineStr">
        <is>
          <t>S-10</t>
        </is>
      </c>
      <c r="I56" s="52" t="n">
        <v>0</v>
      </c>
      <c r="J56" s="52" t="n">
        <v>0</v>
      </c>
      <c r="K56" s="53" t="n">
        <v>19.02</v>
      </c>
      <c r="L56" s="52" t="inlineStr">
        <is>
          <t>L/h</t>
        </is>
      </c>
      <c r="M56" s="52" t="inlineStr"/>
      <c r="N56" s="52" t="inlineStr"/>
      <c r="O56" s="52" t="inlineStr">
        <is>
          <t>Continua em operação</t>
        </is>
      </c>
      <c r="P56" s="52" t="inlineStr">
        <is>
          <t>EX-A0053</t>
        </is>
      </c>
    </row>
    <row r="57">
      <c r="A57" s="51" t="n">
        <v>46245</v>
      </c>
      <c r="B57" s="52" t="inlineStr">
        <is>
          <t>PC-02</t>
        </is>
      </c>
      <c r="C57" s="52" t="inlineStr">
        <is>
          <t>Marcos</t>
        </is>
      </c>
      <c r="D57" s="53" t="n">
        <v>1701.1</v>
      </c>
      <c r="E57" s="53" t="n">
        <v>1709.7</v>
      </c>
      <c r="F57" s="53" t="n">
        <v>8.6</v>
      </c>
      <c r="G57" s="53" t="n">
        <v>153</v>
      </c>
      <c r="H57" s="52" t="inlineStr">
        <is>
          <t>S-10</t>
        </is>
      </c>
      <c r="I57" s="52" t="n">
        <v>0</v>
      </c>
      <c r="J57" s="52" t="n">
        <v>0</v>
      </c>
      <c r="K57" s="53" t="n">
        <v>17.79</v>
      </c>
      <c r="L57" s="52" t="inlineStr">
        <is>
          <t>L/h</t>
        </is>
      </c>
      <c r="M57" s="52" t="inlineStr"/>
      <c r="N57" s="52" t="inlineStr"/>
      <c r="O57" s="52" t="inlineStr">
        <is>
          <t>Continua em operação</t>
        </is>
      </c>
      <c r="P57" s="52" t="inlineStr">
        <is>
          <t>EX-A0054</t>
        </is>
      </c>
    </row>
    <row r="58">
      <c r="A58" s="51" t="n">
        <v>46245</v>
      </c>
      <c r="B58" s="52" t="inlineStr">
        <is>
          <t>RD-01</t>
        </is>
      </c>
      <c r="C58" s="52" t="inlineStr">
        <is>
          <t>Saulo</t>
        </is>
      </c>
      <c r="D58" s="53" t="n">
        <v>1833</v>
      </c>
      <c r="E58" s="53" t="n">
        <v>1840.6</v>
      </c>
      <c r="F58" s="53" t="n">
        <v>7.6</v>
      </c>
      <c r="G58" s="53" t="n">
        <v>88</v>
      </c>
      <c r="H58" s="52" t="inlineStr">
        <is>
          <t>S-10</t>
        </is>
      </c>
      <c r="I58" s="52" t="n">
        <v>0</v>
      </c>
      <c r="J58" s="52" t="n">
        <v>0</v>
      </c>
      <c r="K58" s="53" t="n">
        <v>11.58</v>
      </c>
      <c r="L58" s="52" t="inlineStr">
        <is>
          <t>L/h</t>
        </is>
      </c>
      <c r="M58" s="52" t="inlineStr"/>
      <c r="N58" s="52" t="inlineStr"/>
      <c r="O58" s="52" t="inlineStr">
        <is>
          <t>Continua em operação</t>
        </is>
      </c>
      <c r="P58" s="52" t="inlineStr">
        <is>
          <t>EX-A0055</t>
        </is>
      </c>
    </row>
    <row r="59">
      <c r="A59" s="51" t="n">
        <v>46246</v>
      </c>
      <c r="B59" s="52" t="inlineStr">
        <is>
          <t>CB-01</t>
        </is>
      </c>
      <c r="C59" s="52" t="inlineStr">
        <is>
          <t>Saulo</t>
        </is>
      </c>
      <c r="D59" s="53" t="n">
        <v>1062.7</v>
      </c>
      <c r="E59" s="53" t="n">
        <v>1071</v>
      </c>
      <c r="F59" s="53" t="n">
        <v>8.300000000000001</v>
      </c>
      <c r="G59" s="53" t="n">
        <v>149</v>
      </c>
      <c r="H59" s="52" t="inlineStr">
        <is>
          <t>S-500</t>
        </is>
      </c>
      <c r="I59" s="53" t="n">
        <v>4</v>
      </c>
      <c r="J59" s="53" t="n">
        <v>320</v>
      </c>
      <c r="K59" s="53" t="n">
        <v>2.15</v>
      </c>
      <c r="L59" s="52" t="inlineStr">
        <is>
          <t>km/L</t>
        </is>
      </c>
      <c r="M59" s="52" t="n">
        <v>300</v>
      </c>
      <c r="N59" s="53" t="n">
        <v>0.5</v>
      </c>
      <c r="O59" s="52" t="inlineStr">
        <is>
          <t>Continua em operação</t>
        </is>
      </c>
      <c r="P59" s="52" t="inlineStr">
        <is>
          <t>EX-A0056</t>
        </is>
      </c>
    </row>
    <row r="60">
      <c r="A60" s="51" t="n">
        <v>46246</v>
      </c>
      <c r="B60" s="52" t="inlineStr">
        <is>
          <t>CB-11</t>
        </is>
      </c>
      <c r="C60" s="52" t="inlineStr">
        <is>
          <t>José</t>
        </is>
      </c>
      <c r="D60" s="53" t="n">
        <v>1190.2</v>
      </c>
      <c r="E60" s="53" t="n">
        <v>1198.7</v>
      </c>
      <c r="F60" s="53" t="n">
        <v>8.5</v>
      </c>
      <c r="G60" s="53" t="n">
        <v>130</v>
      </c>
      <c r="H60" s="52" t="inlineStr">
        <is>
          <t>S-10</t>
        </is>
      </c>
      <c r="I60" s="52" t="n">
        <v>0</v>
      </c>
      <c r="J60" s="53" t="n">
        <v>266</v>
      </c>
      <c r="K60" s="53" t="n">
        <v>2.05</v>
      </c>
      <c r="L60" s="52" t="inlineStr">
        <is>
          <t>km/L</t>
        </is>
      </c>
      <c r="M60" s="52" t="n">
        <v>280</v>
      </c>
      <c r="N60" s="53" t="n">
        <v>0.46</v>
      </c>
      <c r="O60" s="52" t="inlineStr">
        <is>
          <t>Continua em operação</t>
        </is>
      </c>
      <c r="P60" s="52" t="inlineStr">
        <is>
          <t>EX-A0057</t>
        </is>
      </c>
    </row>
    <row r="61">
      <c r="A61" s="51" t="n">
        <v>46246</v>
      </c>
      <c r="B61" s="52" t="inlineStr">
        <is>
          <t>CB-17</t>
        </is>
      </c>
      <c r="C61" s="52" t="inlineStr">
        <is>
          <t>Carlos</t>
        </is>
      </c>
      <c r="D61" s="53" t="n">
        <v>1322.9</v>
      </c>
      <c r="E61" s="53" t="n">
        <v>1331</v>
      </c>
      <c r="F61" s="53" t="n">
        <v>8.1</v>
      </c>
      <c r="G61" s="53" t="n">
        <v>117</v>
      </c>
      <c r="H61" s="52" t="inlineStr">
        <is>
          <t>S-10</t>
        </is>
      </c>
      <c r="I61" s="52" t="n">
        <v>0</v>
      </c>
      <c r="J61" s="53" t="n">
        <v>256</v>
      </c>
      <c r="K61" s="53" t="n">
        <v>2.19</v>
      </c>
      <c r="L61" s="52" t="inlineStr">
        <is>
          <t>km/L</t>
        </is>
      </c>
      <c r="M61" s="52" t="n">
        <v>240</v>
      </c>
      <c r="N61" s="53" t="n">
        <v>0.49</v>
      </c>
      <c r="O61" s="52" t="inlineStr">
        <is>
          <t>Continua em operação</t>
        </is>
      </c>
      <c r="P61" s="52" t="inlineStr">
        <is>
          <t>EX-A0058</t>
        </is>
      </c>
    </row>
    <row r="62">
      <c r="A62" s="51" t="n">
        <v>46246</v>
      </c>
      <c r="B62" s="52" t="inlineStr">
        <is>
          <t>CB-22</t>
        </is>
      </c>
      <c r="C62" s="52" t="inlineStr">
        <is>
          <t>Antônio</t>
        </is>
      </c>
      <c r="D62" s="53" t="n">
        <v>1456.1</v>
      </c>
      <c r="E62" s="53" t="n">
        <v>1466.1</v>
      </c>
      <c r="F62" s="53" t="n">
        <v>10</v>
      </c>
      <c r="G62" s="53" t="n">
        <v>301</v>
      </c>
      <c r="H62" s="52" t="inlineStr">
        <is>
          <t>S-10</t>
        </is>
      </c>
      <c r="I62" s="53" t="n">
        <v>9</v>
      </c>
      <c r="J62" s="53" t="n">
        <v>458</v>
      </c>
      <c r="K62" s="53" t="n">
        <v>1.52</v>
      </c>
      <c r="L62" s="52" t="inlineStr">
        <is>
          <t>km/L</t>
        </is>
      </c>
      <c r="M62" s="52" t="n">
        <v>384</v>
      </c>
      <c r="N62" s="53" t="n">
        <v>0.78</v>
      </c>
      <c r="O62" s="52" t="inlineStr">
        <is>
          <t>Continua em operação</t>
        </is>
      </c>
      <c r="P62" s="52" t="inlineStr">
        <is>
          <t>EX-A0059</t>
        </is>
      </c>
    </row>
    <row r="63">
      <c r="A63" s="51" t="n">
        <v>46246</v>
      </c>
      <c r="B63" s="52" t="inlineStr">
        <is>
          <t>PC-01</t>
        </is>
      </c>
      <c r="C63" s="52" t="inlineStr">
        <is>
          <t>Marcos</t>
        </is>
      </c>
      <c r="D63" s="53" t="n">
        <v>1583.6</v>
      </c>
      <c r="E63" s="53" t="n">
        <v>1593.6</v>
      </c>
      <c r="F63" s="53" t="n">
        <v>10</v>
      </c>
      <c r="G63" s="53" t="n">
        <v>180</v>
      </c>
      <c r="H63" s="52" t="inlineStr">
        <is>
          <t>S-10</t>
        </is>
      </c>
      <c r="I63" s="52" t="n">
        <v>0</v>
      </c>
      <c r="J63" s="52" t="n">
        <v>0</v>
      </c>
      <c r="K63" s="53" t="n">
        <v>18</v>
      </c>
      <c r="L63" s="52" t="inlineStr">
        <is>
          <t>L/h</t>
        </is>
      </c>
      <c r="M63" s="52" t="inlineStr"/>
      <c r="N63" s="52" t="inlineStr"/>
      <c r="O63" s="52" t="inlineStr">
        <is>
          <t>Continua em operação</t>
        </is>
      </c>
      <c r="P63" s="52" t="inlineStr">
        <is>
          <t>EX-A0060</t>
        </is>
      </c>
    </row>
    <row r="64">
      <c r="A64" s="51" t="n">
        <v>46246</v>
      </c>
      <c r="B64" s="52" t="inlineStr">
        <is>
          <t>PC-02</t>
        </is>
      </c>
      <c r="C64" s="52" t="inlineStr">
        <is>
          <t>Saulo</t>
        </is>
      </c>
      <c r="D64" s="53" t="n">
        <v>1709.7</v>
      </c>
      <c r="E64" s="53" t="n">
        <v>1718.4</v>
      </c>
      <c r="F64" s="53" t="n">
        <v>8.699999999999999</v>
      </c>
      <c r="G64" s="53" t="n">
        <v>170</v>
      </c>
      <c r="H64" s="52" t="inlineStr">
        <is>
          <t>S-10</t>
        </is>
      </c>
      <c r="I64" s="52" t="n">
        <v>0</v>
      </c>
      <c r="J64" s="52" t="n">
        <v>0</v>
      </c>
      <c r="K64" s="53" t="n">
        <v>19.54</v>
      </c>
      <c r="L64" s="52" t="inlineStr">
        <is>
          <t>L/h</t>
        </is>
      </c>
      <c r="M64" s="52" t="inlineStr"/>
      <c r="N64" s="52" t="inlineStr"/>
      <c r="O64" s="52" t="inlineStr">
        <is>
          <t>Continua em operação</t>
        </is>
      </c>
      <c r="P64" s="52" t="inlineStr">
        <is>
          <t>EX-A0061</t>
        </is>
      </c>
    </row>
    <row r="65">
      <c r="A65" s="51" t="n">
        <v>46246</v>
      </c>
      <c r="B65" s="52" t="inlineStr">
        <is>
          <t>RD-01</t>
        </is>
      </c>
      <c r="C65" s="52" t="inlineStr">
        <is>
          <t>José</t>
        </is>
      </c>
      <c r="D65" s="53" t="n">
        <v>1840.6</v>
      </c>
      <c r="E65" s="53" t="n">
        <v>1848.7</v>
      </c>
      <c r="F65" s="53" t="n">
        <v>8.1</v>
      </c>
      <c r="G65" s="53" t="n">
        <v>102</v>
      </c>
      <c r="H65" s="52" t="inlineStr">
        <is>
          <t>S-10</t>
        </is>
      </c>
      <c r="I65" s="52" t="n">
        <v>0</v>
      </c>
      <c r="J65" s="52" t="n">
        <v>0</v>
      </c>
      <c r="K65" s="53" t="n">
        <v>12.59</v>
      </c>
      <c r="L65" s="52" t="inlineStr">
        <is>
          <t>L/h</t>
        </is>
      </c>
      <c r="M65" s="52" t="inlineStr"/>
      <c r="N65" s="52" t="inlineStr"/>
      <c r="O65" s="52" t="inlineStr">
        <is>
          <t>Continua em operação</t>
        </is>
      </c>
      <c r="P65" s="52" t="inlineStr">
        <is>
          <t>EX-A0062</t>
        </is>
      </c>
    </row>
    <row r="66">
      <c r="A66" s="51" t="n">
        <v>46246</v>
      </c>
      <c r="B66" s="52" t="inlineStr">
        <is>
          <t>MG-01</t>
        </is>
      </c>
      <c r="C66" s="52" t="inlineStr">
        <is>
          <t>Carlos</t>
        </is>
      </c>
      <c r="D66" s="53" t="n">
        <v>1964.1</v>
      </c>
      <c r="E66" s="53" t="n">
        <v>1972.9</v>
      </c>
      <c r="F66" s="53" t="n">
        <v>8.800000000000001</v>
      </c>
      <c r="G66" s="53" t="n">
        <v>108</v>
      </c>
      <c r="H66" s="52" t="inlineStr">
        <is>
          <t>S-10</t>
        </is>
      </c>
      <c r="I66" s="52" t="n">
        <v>0</v>
      </c>
      <c r="J66" s="52" t="n">
        <v>0</v>
      </c>
      <c r="K66" s="53" t="n">
        <v>12.27</v>
      </c>
      <c r="L66" s="52" t="inlineStr">
        <is>
          <t>L/h</t>
        </is>
      </c>
      <c r="M66" s="52" t="inlineStr"/>
      <c r="N66" s="52" t="inlineStr"/>
      <c r="O66" s="52" t="inlineStr">
        <is>
          <t>Continua em operação</t>
        </is>
      </c>
      <c r="P66" s="52" t="inlineStr">
        <is>
          <t>EX-A0063</t>
        </is>
      </c>
    </row>
    <row r="67">
      <c r="A67" s="51" t="n">
        <v>46247</v>
      </c>
      <c r="B67" s="52" t="inlineStr">
        <is>
          <t>CB-01</t>
        </is>
      </c>
      <c r="C67" s="52" t="inlineStr">
        <is>
          <t>José</t>
        </is>
      </c>
      <c r="D67" s="53" t="n">
        <v>1071</v>
      </c>
      <c r="E67" s="53" t="n">
        <v>1078.8</v>
      </c>
      <c r="F67" s="53" t="n">
        <v>7.8</v>
      </c>
      <c r="G67" s="53" t="n">
        <v>157</v>
      </c>
      <c r="H67" s="52" t="inlineStr">
        <is>
          <t>S-500</t>
        </is>
      </c>
      <c r="I67" s="53" t="n">
        <v>5</v>
      </c>
      <c r="J67" s="53" t="n">
        <v>344</v>
      </c>
      <c r="K67" s="53" t="n">
        <v>2.19</v>
      </c>
      <c r="L67" s="52" t="inlineStr">
        <is>
          <t>km/L</t>
        </is>
      </c>
      <c r="M67" s="52" t="n">
        <v>330</v>
      </c>
      <c r="N67" s="53" t="n">
        <v>0.48</v>
      </c>
      <c r="O67" s="52" t="inlineStr">
        <is>
          <t>Continua em operação</t>
        </is>
      </c>
      <c r="P67" s="52" t="inlineStr">
        <is>
          <t>EX-A0064</t>
        </is>
      </c>
    </row>
    <row r="68">
      <c r="A68" s="51" t="n">
        <v>46247</v>
      </c>
      <c r="B68" s="52" t="inlineStr">
        <is>
          <t>CB-11</t>
        </is>
      </c>
      <c r="C68" s="52" t="inlineStr">
        <is>
          <t>Carlos</t>
        </is>
      </c>
      <c r="D68" s="53" t="n">
        <v>1198.7</v>
      </c>
      <c r="E68" s="53" t="n">
        <v>1208.4</v>
      </c>
      <c r="F68" s="53" t="n">
        <v>9.699999999999999</v>
      </c>
      <c r="G68" s="53" t="n">
        <v>89</v>
      </c>
      <c r="H68" s="52" t="inlineStr">
        <is>
          <t>S-10</t>
        </is>
      </c>
      <c r="I68" s="52" t="n">
        <v>0</v>
      </c>
      <c r="J68" s="53" t="n">
        <v>189</v>
      </c>
      <c r="K68" s="53" t="n">
        <v>2.12</v>
      </c>
      <c r="L68" s="52" t="inlineStr">
        <is>
          <t>km/L</t>
        </is>
      </c>
      <c r="M68" s="52" t="n">
        <v>196</v>
      </c>
      <c r="N68" s="53" t="n">
        <v>0.45</v>
      </c>
      <c r="O68" s="52" t="inlineStr">
        <is>
          <t>Continua em operação</t>
        </is>
      </c>
      <c r="P68" s="52" t="inlineStr">
        <is>
          <t>EX-A0065</t>
        </is>
      </c>
    </row>
    <row r="69">
      <c r="A69" s="51" t="n">
        <v>46247</v>
      </c>
      <c r="B69" s="52" t="inlineStr">
        <is>
          <t>CB-17</t>
        </is>
      </c>
      <c r="C69" s="52" t="inlineStr">
        <is>
          <t>Antônio</t>
        </is>
      </c>
      <c r="D69" s="53" t="n">
        <v>1331</v>
      </c>
      <c r="E69" s="53" t="n">
        <v>1339.9</v>
      </c>
      <c r="F69" s="53" t="n">
        <v>8.9</v>
      </c>
      <c r="G69" s="53" t="n">
        <v>112</v>
      </c>
      <c r="H69" s="52" t="inlineStr">
        <is>
          <t>S-10</t>
        </is>
      </c>
      <c r="I69" s="52" t="n">
        <v>0</v>
      </c>
      <c r="J69" s="53" t="n">
        <v>246</v>
      </c>
      <c r="K69" s="53" t="n">
        <v>2.2</v>
      </c>
      <c r="L69" s="52" t="inlineStr">
        <is>
          <t>km/L</t>
        </is>
      </c>
      <c r="M69" s="52" t="n">
        <v>224</v>
      </c>
      <c r="N69" s="53" t="n">
        <v>0.5</v>
      </c>
      <c r="O69" s="52" t="inlineStr">
        <is>
          <t>Continua em operação</t>
        </is>
      </c>
      <c r="P69" s="52" t="inlineStr">
        <is>
          <t>EX-A0066</t>
        </is>
      </c>
    </row>
    <row r="70">
      <c r="A70" s="51" t="n">
        <v>46247</v>
      </c>
      <c r="B70" s="52" t="inlineStr">
        <is>
          <t>CB-22</t>
        </is>
      </c>
      <c r="C70" s="52" t="inlineStr">
        <is>
          <t>Marcos</t>
        </is>
      </c>
      <c r="D70" s="53" t="n">
        <v>1466.1</v>
      </c>
      <c r="E70" s="53" t="n">
        <v>1475.6</v>
      </c>
      <c r="F70" s="53" t="n">
        <v>9.5</v>
      </c>
      <c r="G70" s="53" t="n">
        <v>225</v>
      </c>
      <c r="H70" s="52" t="inlineStr">
        <is>
          <t>S-10</t>
        </is>
      </c>
      <c r="I70" s="53" t="n">
        <v>7</v>
      </c>
      <c r="J70" s="53" t="n">
        <v>325</v>
      </c>
      <c r="K70" s="53" t="n">
        <v>1.44</v>
      </c>
      <c r="L70" s="52" t="inlineStr">
        <is>
          <t>km/L</t>
        </is>
      </c>
      <c r="M70" s="52" t="n">
        <v>280</v>
      </c>
      <c r="N70" s="53" t="n">
        <v>0.8</v>
      </c>
      <c r="O70" s="52" t="inlineStr">
        <is>
          <t>Continua em operação</t>
        </is>
      </c>
      <c r="P70" s="52" t="inlineStr">
        <is>
          <t>EX-A0067</t>
        </is>
      </c>
    </row>
    <row r="71">
      <c r="A71" s="51" t="n">
        <v>46247</v>
      </c>
      <c r="B71" s="52" t="inlineStr">
        <is>
          <t>PC-01</t>
        </is>
      </c>
      <c r="C71" s="52" t="inlineStr">
        <is>
          <t>Saulo</t>
        </is>
      </c>
      <c r="D71" s="53" t="n">
        <v>1593.6</v>
      </c>
      <c r="E71" s="53" t="n">
        <v>1601.1</v>
      </c>
      <c r="F71" s="53" t="n">
        <v>7.5</v>
      </c>
      <c r="G71" s="53" t="n">
        <v>152</v>
      </c>
      <c r="H71" s="52" t="inlineStr">
        <is>
          <t>S-10</t>
        </is>
      </c>
      <c r="I71" s="52" t="n">
        <v>0</v>
      </c>
      <c r="J71" s="52" t="n">
        <v>0</v>
      </c>
      <c r="K71" s="53" t="n">
        <v>20.27</v>
      </c>
      <c r="L71" s="52" t="inlineStr">
        <is>
          <t>L/h</t>
        </is>
      </c>
      <c r="M71" s="52" t="inlineStr"/>
      <c r="N71" s="52" t="inlineStr"/>
      <c r="O71" s="52" t="inlineStr">
        <is>
          <t>Continua em operação</t>
        </is>
      </c>
      <c r="P71" s="52" t="inlineStr">
        <is>
          <t>EX-A0068</t>
        </is>
      </c>
    </row>
    <row r="72">
      <c r="A72" s="51" t="n">
        <v>46247</v>
      </c>
      <c r="B72" s="52" t="inlineStr">
        <is>
          <t>PC-02</t>
        </is>
      </c>
      <c r="C72" s="52" t="inlineStr">
        <is>
          <t>José</t>
        </is>
      </c>
      <c r="D72" s="53" t="n">
        <v>1718.4</v>
      </c>
      <c r="E72" s="53" t="n">
        <v>1727.8</v>
      </c>
      <c r="F72" s="53" t="n">
        <v>9.4</v>
      </c>
      <c r="G72" s="53" t="n">
        <v>179</v>
      </c>
      <c r="H72" s="52" t="inlineStr">
        <is>
          <t>S-10</t>
        </is>
      </c>
      <c r="I72" s="52" t="n">
        <v>0</v>
      </c>
      <c r="J72" s="52" t="n">
        <v>0</v>
      </c>
      <c r="K72" s="53" t="n">
        <v>19.04</v>
      </c>
      <c r="L72" s="52" t="inlineStr">
        <is>
          <t>L/h</t>
        </is>
      </c>
      <c r="M72" s="52" t="inlineStr"/>
      <c r="N72" s="52" t="inlineStr"/>
      <c r="O72" s="52" t="inlineStr">
        <is>
          <t>Continua em operação</t>
        </is>
      </c>
      <c r="P72" s="52" t="inlineStr">
        <is>
          <t>EX-A0069</t>
        </is>
      </c>
    </row>
    <row r="73">
      <c r="A73" s="51" t="n">
        <v>46247</v>
      </c>
      <c r="B73" s="52" t="inlineStr">
        <is>
          <t>RD-01</t>
        </is>
      </c>
      <c r="C73" s="52" t="inlineStr">
        <is>
          <t>Carlos</t>
        </is>
      </c>
      <c r="D73" s="53" t="n">
        <v>1848.7</v>
      </c>
      <c r="E73" s="53" t="n">
        <v>1859</v>
      </c>
      <c r="F73" s="53" t="n">
        <v>10.3</v>
      </c>
      <c r="G73" s="53" t="n">
        <v>122</v>
      </c>
      <c r="H73" s="52" t="inlineStr">
        <is>
          <t>S-10</t>
        </is>
      </c>
      <c r="I73" s="52" t="n">
        <v>0</v>
      </c>
      <c r="J73" s="52" t="n">
        <v>0</v>
      </c>
      <c r="K73" s="53" t="n">
        <v>11.84</v>
      </c>
      <c r="L73" s="52" t="inlineStr">
        <is>
          <t>L/h</t>
        </is>
      </c>
      <c r="M73" s="52" t="inlineStr"/>
      <c r="N73" s="52" t="inlineStr"/>
      <c r="O73" s="52" t="inlineStr">
        <is>
          <t>Continua em operação</t>
        </is>
      </c>
      <c r="P73" s="52" t="inlineStr">
        <is>
          <t>EX-A0070</t>
        </is>
      </c>
    </row>
    <row r="74">
      <c r="A74" s="51" t="n">
        <v>46247</v>
      </c>
      <c r="B74" s="52" t="inlineStr">
        <is>
          <t>MG-01</t>
        </is>
      </c>
      <c r="C74" s="52" t="inlineStr">
        <is>
          <t>Antônio</t>
        </is>
      </c>
      <c r="D74" s="53" t="n">
        <v>1972.9</v>
      </c>
      <c r="E74" s="53" t="n">
        <v>1983</v>
      </c>
      <c r="F74" s="53" t="n">
        <v>10.1</v>
      </c>
      <c r="G74" s="53" t="n">
        <v>127</v>
      </c>
      <c r="H74" s="52" t="inlineStr">
        <is>
          <t>S-10</t>
        </is>
      </c>
      <c r="I74" s="52" t="n">
        <v>0</v>
      </c>
      <c r="J74" s="52" t="n">
        <v>0</v>
      </c>
      <c r="K74" s="53" t="n">
        <v>12.57</v>
      </c>
      <c r="L74" s="52" t="inlineStr">
        <is>
          <t>L/h</t>
        </is>
      </c>
      <c r="M74" s="52" t="inlineStr"/>
      <c r="N74" s="52" t="inlineStr"/>
      <c r="O74" s="52" t="inlineStr">
        <is>
          <t>Continua em operação</t>
        </is>
      </c>
      <c r="P74" s="52" t="inlineStr">
        <is>
          <t>EX-A0071</t>
        </is>
      </c>
    </row>
    <row r="75">
      <c r="A75" s="51" t="n">
        <v>46248</v>
      </c>
      <c r="B75" s="52" t="inlineStr">
        <is>
          <t>CB-01</t>
        </is>
      </c>
      <c r="C75" s="52" t="inlineStr">
        <is>
          <t>Carlos</t>
        </is>
      </c>
      <c r="D75" s="53" t="n">
        <v>1078.8</v>
      </c>
      <c r="E75" s="53" t="n">
        <v>1086.9</v>
      </c>
      <c r="F75" s="53" t="n">
        <v>8.1</v>
      </c>
      <c r="G75" s="53" t="n">
        <v>118</v>
      </c>
      <c r="H75" s="52" t="inlineStr">
        <is>
          <t>S-500</t>
        </is>
      </c>
      <c r="I75" s="53" t="n">
        <v>4</v>
      </c>
      <c r="J75" s="53" t="n">
        <v>241</v>
      </c>
      <c r="K75" s="53" t="n">
        <v>2.04</v>
      </c>
      <c r="L75" s="52" t="inlineStr">
        <is>
          <t>km/L</t>
        </is>
      </c>
      <c r="M75" s="52" t="n">
        <v>252</v>
      </c>
      <c r="N75" s="53" t="n">
        <v>0.47</v>
      </c>
      <c r="O75" s="52" t="inlineStr">
        <is>
          <t>Continua em operação</t>
        </is>
      </c>
      <c r="P75" s="52" t="inlineStr">
        <is>
          <t>EX-A0072</t>
        </is>
      </c>
    </row>
    <row r="76">
      <c r="A76" s="51" t="n">
        <v>46248</v>
      </c>
      <c r="B76" s="52" t="inlineStr">
        <is>
          <t>CB-11</t>
        </is>
      </c>
      <c r="C76" s="52" t="inlineStr">
        <is>
          <t>Antônio</t>
        </is>
      </c>
      <c r="D76" s="53" t="n">
        <v>1208.4</v>
      </c>
      <c r="E76" s="53" t="n">
        <v>1217.7</v>
      </c>
      <c r="F76" s="53" t="n">
        <v>9.300000000000001</v>
      </c>
      <c r="G76" s="53" t="n">
        <v>137</v>
      </c>
      <c r="H76" s="52" t="inlineStr">
        <is>
          <t>S-10</t>
        </is>
      </c>
      <c r="I76" s="52" t="n">
        <v>0</v>
      </c>
      <c r="J76" s="53" t="n">
        <v>277</v>
      </c>
      <c r="K76" s="53" t="n">
        <v>2.02</v>
      </c>
      <c r="L76" s="52" t="inlineStr">
        <is>
          <t>km/L</t>
        </is>
      </c>
      <c r="M76" s="52" t="n">
        <v>288</v>
      </c>
      <c r="N76" s="53" t="n">
        <v>0.48</v>
      </c>
      <c r="O76" s="52" t="inlineStr">
        <is>
          <t>Continua em operação</t>
        </is>
      </c>
      <c r="P76" s="52" t="inlineStr">
        <is>
          <t>EX-A0073</t>
        </is>
      </c>
    </row>
    <row r="77">
      <c r="A77" s="51" t="n">
        <v>46248</v>
      </c>
      <c r="B77" s="52" t="inlineStr">
        <is>
          <t>CB-17</t>
        </is>
      </c>
      <c r="C77" s="52" t="inlineStr">
        <is>
          <t>Marcos</t>
        </is>
      </c>
      <c r="D77" s="53" t="n">
        <v>1339.9</v>
      </c>
      <c r="E77" s="53" t="n">
        <v>1350.1</v>
      </c>
      <c r="F77" s="53" t="n">
        <v>10.2</v>
      </c>
      <c r="G77" s="53" t="n">
        <v>147</v>
      </c>
      <c r="H77" s="52" t="inlineStr">
        <is>
          <t>S-10</t>
        </is>
      </c>
      <c r="I77" s="52" t="n">
        <v>0</v>
      </c>
      <c r="J77" s="53" t="n">
        <v>318</v>
      </c>
      <c r="K77" s="53" t="n">
        <v>2.16</v>
      </c>
      <c r="L77" s="52" t="inlineStr">
        <is>
          <t>km/L</t>
        </is>
      </c>
      <c r="M77" s="52" t="n">
        <v>300</v>
      </c>
      <c r="N77" s="53" t="n">
        <v>0.49</v>
      </c>
      <c r="O77" s="52" t="inlineStr">
        <is>
          <t>Continua em operação</t>
        </is>
      </c>
      <c r="P77" s="52" t="inlineStr">
        <is>
          <t>EX-A0074</t>
        </is>
      </c>
    </row>
    <row r="78">
      <c r="A78" s="51" t="n">
        <v>46248</v>
      </c>
      <c r="B78" s="52" t="inlineStr">
        <is>
          <t>CB-22</t>
        </is>
      </c>
      <c r="C78" s="52" t="inlineStr">
        <is>
          <t>Saulo</t>
        </is>
      </c>
      <c r="D78" s="53" t="n">
        <v>1475.6</v>
      </c>
      <c r="E78" s="53" t="n">
        <v>1484.7</v>
      </c>
      <c r="F78" s="53" t="n">
        <v>9.1</v>
      </c>
      <c r="G78" s="53" t="n">
        <v>172</v>
      </c>
      <c r="H78" s="52" t="inlineStr">
        <is>
          <t>S-10</t>
        </is>
      </c>
      <c r="I78" s="53" t="n">
        <v>5</v>
      </c>
      <c r="J78" s="53" t="n">
        <v>258</v>
      </c>
      <c r="K78" s="53" t="n">
        <v>1.5</v>
      </c>
      <c r="L78" s="52" t="inlineStr">
        <is>
          <t>km/L</t>
        </is>
      </c>
      <c r="M78" s="52" t="n">
        <v>224</v>
      </c>
      <c r="N78" s="53" t="n">
        <v>0.77</v>
      </c>
      <c r="O78" s="52" t="inlineStr">
        <is>
          <t>Continua em operação</t>
        </is>
      </c>
      <c r="P78" s="52" t="inlineStr">
        <is>
          <t>EX-A0075</t>
        </is>
      </c>
    </row>
    <row r="79">
      <c r="A79" s="51" t="n">
        <v>46248</v>
      </c>
      <c r="B79" s="52" t="inlineStr">
        <is>
          <t>PC-01</t>
        </is>
      </c>
      <c r="C79" s="52" t="inlineStr">
        <is>
          <t>José</t>
        </is>
      </c>
      <c r="D79" s="53" t="n">
        <v>1601.1</v>
      </c>
      <c r="E79" s="53" t="n">
        <v>1611.2</v>
      </c>
      <c r="F79" s="53" t="n">
        <v>10.1</v>
      </c>
      <c r="G79" s="53" t="n">
        <v>199</v>
      </c>
      <c r="H79" s="52" t="inlineStr">
        <is>
          <t>S-10</t>
        </is>
      </c>
      <c r="I79" s="52" t="n">
        <v>0</v>
      </c>
      <c r="J79" s="52" t="n">
        <v>0</v>
      </c>
      <c r="K79" s="53" t="n">
        <v>19.7</v>
      </c>
      <c r="L79" s="52" t="inlineStr">
        <is>
          <t>L/h</t>
        </is>
      </c>
      <c r="M79" s="52" t="inlineStr"/>
      <c r="N79" s="52" t="inlineStr"/>
      <c r="O79" s="52" t="inlineStr">
        <is>
          <t>Continua em operação</t>
        </is>
      </c>
      <c r="P79" s="52" t="inlineStr">
        <is>
          <t>EX-A0076</t>
        </is>
      </c>
    </row>
    <row r="80">
      <c r="A80" s="51" t="n">
        <v>46248</v>
      </c>
      <c r="B80" s="52" t="inlineStr">
        <is>
          <t>PC-02</t>
        </is>
      </c>
      <c r="C80" s="52" t="inlineStr">
        <is>
          <t>Carlos</t>
        </is>
      </c>
      <c r="D80" s="53" t="n">
        <v>1727.8</v>
      </c>
      <c r="E80" s="53" t="n">
        <v>1737.1</v>
      </c>
      <c r="F80" s="53" t="n">
        <v>9.300000000000001</v>
      </c>
      <c r="G80" s="53" t="n">
        <v>184</v>
      </c>
      <c r="H80" s="52" t="inlineStr">
        <is>
          <t>S-10</t>
        </is>
      </c>
      <c r="I80" s="52" t="n">
        <v>0</v>
      </c>
      <c r="J80" s="52" t="n">
        <v>0</v>
      </c>
      <c r="K80" s="53" t="n">
        <v>19.78</v>
      </c>
      <c r="L80" s="52" t="inlineStr">
        <is>
          <t>L/h</t>
        </is>
      </c>
      <c r="M80" s="52" t="inlineStr"/>
      <c r="N80" s="52" t="inlineStr"/>
      <c r="O80" s="52" t="inlineStr">
        <is>
          <t>Continua em operação</t>
        </is>
      </c>
      <c r="P80" s="52" t="inlineStr">
        <is>
          <t>EX-A0077</t>
        </is>
      </c>
    </row>
    <row r="81">
      <c r="A81" s="51" t="n">
        <v>46248</v>
      </c>
      <c r="B81" s="52" t="inlineStr">
        <is>
          <t>RD-01</t>
        </is>
      </c>
      <c r="C81" s="52" t="inlineStr">
        <is>
          <t>Antônio</t>
        </is>
      </c>
      <c r="D81" s="53" t="n">
        <v>1859</v>
      </c>
      <c r="E81" s="53" t="n">
        <v>1866.9</v>
      </c>
      <c r="F81" s="53" t="n">
        <v>7.9</v>
      </c>
      <c r="G81" s="53" t="n">
        <v>90</v>
      </c>
      <c r="H81" s="52" t="inlineStr">
        <is>
          <t>S-10</t>
        </is>
      </c>
      <c r="I81" s="52" t="n">
        <v>0</v>
      </c>
      <c r="J81" s="52" t="n">
        <v>0</v>
      </c>
      <c r="K81" s="53" t="n">
        <v>11.39</v>
      </c>
      <c r="L81" s="52" t="inlineStr">
        <is>
          <t>L/h</t>
        </is>
      </c>
      <c r="M81" s="52" t="inlineStr"/>
      <c r="N81" s="52" t="inlineStr"/>
      <c r="O81" s="52" t="inlineStr">
        <is>
          <t>Continua em operação</t>
        </is>
      </c>
      <c r="P81" s="52" t="inlineStr">
        <is>
          <t>EX-A0078</t>
        </is>
      </c>
    </row>
    <row r="82">
      <c r="A82" s="51" t="n">
        <v>46248</v>
      </c>
      <c r="B82" s="52" t="inlineStr">
        <is>
          <t>MG-01</t>
        </is>
      </c>
      <c r="C82" s="52" t="inlineStr">
        <is>
          <t>Marcos</t>
        </is>
      </c>
      <c r="D82" s="53" t="n">
        <v>1983</v>
      </c>
      <c r="E82" s="53" t="n">
        <v>1992.4</v>
      </c>
      <c r="F82" s="53" t="n">
        <v>9.4</v>
      </c>
      <c r="G82" s="53" t="n">
        <v>107</v>
      </c>
      <c r="H82" s="52" t="inlineStr">
        <is>
          <t>S-10</t>
        </is>
      </c>
      <c r="I82" s="52" t="n">
        <v>0</v>
      </c>
      <c r="J82" s="52" t="n">
        <v>0</v>
      </c>
      <c r="K82" s="53" t="n">
        <v>11.38</v>
      </c>
      <c r="L82" s="52" t="inlineStr">
        <is>
          <t>L/h</t>
        </is>
      </c>
      <c r="M82" s="52" t="inlineStr"/>
      <c r="N82" s="52" t="inlineStr"/>
      <c r="O82" s="52" t="inlineStr">
        <is>
          <t>Continua em operação</t>
        </is>
      </c>
      <c r="P82" s="52" t="inlineStr">
        <is>
          <t>EX-A0079</t>
        </is>
      </c>
    </row>
    <row r="83">
      <c r="A83" s="51" t="n">
        <v>46249</v>
      </c>
      <c r="B83" s="52" t="inlineStr">
        <is>
          <t>CB-01</t>
        </is>
      </c>
      <c r="C83" s="52" t="inlineStr">
        <is>
          <t>Antônio</t>
        </is>
      </c>
      <c r="D83" s="53" t="n">
        <v>1086.9</v>
      </c>
      <c r="E83" s="53" t="n">
        <v>1094.6</v>
      </c>
      <c r="F83" s="53" t="n">
        <v>7.7</v>
      </c>
      <c r="G83" s="53" t="n">
        <v>169</v>
      </c>
      <c r="H83" s="52" t="inlineStr">
        <is>
          <t>S-500</t>
        </is>
      </c>
      <c r="I83" s="53" t="n">
        <v>5</v>
      </c>
      <c r="J83" s="53" t="n">
        <v>339</v>
      </c>
      <c r="K83" s="53" t="n">
        <v>2.01</v>
      </c>
      <c r="L83" s="52" t="inlineStr">
        <is>
          <t>km/L</t>
        </is>
      </c>
      <c r="M83" s="52" t="n">
        <v>336</v>
      </c>
      <c r="N83" s="53" t="n">
        <v>0.5</v>
      </c>
      <c r="O83" s="52" t="inlineStr">
        <is>
          <t>Continua em operação</t>
        </is>
      </c>
      <c r="P83" s="52" t="inlineStr">
        <is>
          <t>EX-A0080</t>
        </is>
      </c>
    </row>
    <row r="84">
      <c r="A84" s="51" t="n">
        <v>46249</v>
      </c>
      <c r="B84" s="52" t="inlineStr">
        <is>
          <t>CB-11</t>
        </is>
      </c>
      <c r="C84" s="52" t="inlineStr">
        <is>
          <t>Marcos</t>
        </is>
      </c>
      <c r="D84" s="53" t="n">
        <v>1217.7</v>
      </c>
      <c r="E84" s="53" t="n">
        <v>1225.8</v>
      </c>
      <c r="F84" s="53" t="n">
        <v>8.1</v>
      </c>
      <c r="G84" s="53" t="n">
        <v>67</v>
      </c>
      <c r="H84" s="52" t="inlineStr">
        <is>
          <t>S-10</t>
        </is>
      </c>
      <c r="I84" s="52" t="n">
        <v>0</v>
      </c>
      <c r="J84" s="53" t="n">
        <v>142</v>
      </c>
      <c r="K84" s="53" t="n">
        <v>2.12</v>
      </c>
      <c r="L84" s="52" t="inlineStr">
        <is>
          <t>km/L</t>
        </is>
      </c>
      <c r="M84" s="52" t="n">
        <v>140</v>
      </c>
      <c r="N84" s="53" t="n">
        <v>0.48</v>
      </c>
      <c r="O84" s="52" t="inlineStr">
        <is>
          <t>Continua em operação</t>
        </is>
      </c>
      <c r="P84" s="52" t="inlineStr">
        <is>
          <t>EX-A0081</t>
        </is>
      </c>
    </row>
    <row r="85">
      <c r="A85" s="51" t="n">
        <v>46249</v>
      </c>
      <c r="B85" s="52" t="inlineStr">
        <is>
          <t>CB-17</t>
        </is>
      </c>
      <c r="C85" s="52" t="inlineStr">
        <is>
          <t>Saulo</t>
        </is>
      </c>
      <c r="D85" s="53" t="n">
        <v>1350.1</v>
      </c>
      <c r="E85" s="53" t="n">
        <v>1359.9</v>
      </c>
      <c r="F85" s="53" t="n">
        <v>9.800000000000001</v>
      </c>
      <c r="G85" s="53" t="n">
        <v>85</v>
      </c>
      <c r="H85" s="52" t="inlineStr">
        <is>
          <t>S-10</t>
        </is>
      </c>
      <c r="I85" s="52" t="n">
        <v>0</v>
      </c>
      <c r="J85" s="53" t="n">
        <v>187</v>
      </c>
      <c r="K85" s="53" t="n">
        <v>2.2</v>
      </c>
      <c r="L85" s="52" t="inlineStr">
        <is>
          <t>km/L</t>
        </is>
      </c>
      <c r="M85" s="52" t="n">
        <v>180</v>
      </c>
      <c r="N85" s="53" t="n">
        <v>0.47</v>
      </c>
      <c r="O85" s="52" t="inlineStr">
        <is>
          <t>Continua em operação</t>
        </is>
      </c>
      <c r="P85" s="52" t="inlineStr">
        <is>
          <t>EX-A0082</t>
        </is>
      </c>
    </row>
    <row r="86">
      <c r="A86" s="51" t="n">
        <v>46249</v>
      </c>
      <c r="B86" s="52" t="inlineStr">
        <is>
          <t>CB-22</t>
        </is>
      </c>
      <c r="C86" s="52" t="inlineStr">
        <is>
          <t>José</t>
        </is>
      </c>
      <c r="D86" s="53" t="n">
        <v>1484.7</v>
      </c>
      <c r="E86" s="53" t="n">
        <v>1494</v>
      </c>
      <c r="F86" s="53" t="n">
        <v>9.300000000000001</v>
      </c>
      <c r="G86" s="53" t="n">
        <v>199</v>
      </c>
      <c r="H86" s="52" t="inlineStr">
        <is>
          <t>S-10</t>
        </is>
      </c>
      <c r="I86" s="53" t="n">
        <v>6</v>
      </c>
      <c r="J86" s="53" t="n">
        <v>299</v>
      </c>
      <c r="K86" s="53" t="n">
        <v>1.5</v>
      </c>
      <c r="L86" s="52" t="inlineStr">
        <is>
          <t>km/L</t>
        </is>
      </c>
      <c r="M86" s="52" t="n">
        <v>256</v>
      </c>
      <c r="N86" s="53" t="n">
        <v>0.78</v>
      </c>
      <c r="O86" s="52" t="inlineStr">
        <is>
          <t>Continua em operação</t>
        </is>
      </c>
      <c r="P86" s="52" t="inlineStr">
        <is>
          <t>EX-A0083</t>
        </is>
      </c>
    </row>
    <row r="87">
      <c r="A87" s="51" t="n">
        <v>46249</v>
      </c>
      <c r="B87" s="52" t="inlineStr">
        <is>
          <t>PC-01</t>
        </is>
      </c>
      <c r="C87" s="52" t="inlineStr">
        <is>
          <t>Carlos</t>
        </is>
      </c>
      <c r="D87" s="53" t="n">
        <v>1611.2</v>
      </c>
      <c r="E87" s="53" t="n">
        <v>1621.1</v>
      </c>
      <c r="F87" s="53" t="n">
        <v>9.9</v>
      </c>
      <c r="G87" s="53" t="n">
        <v>188</v>
      </c>
      <c r="H87" s="52" t="inlineStr">
        <is>
          <t>S-10</t>
        </is>
      </c>
      <c r="I87" s="52" t="n">
        <v>0</v>
      </c>
      <c r="J87" s="52" t="n">
        <v>0</v>
      </c>
      <c r="K87" s="53" t="n">
        <v>18.99</v>
      </c>
      <c r="L87" s="52" t="inlineStr">
        <is>
          <t>L/h</t>
        </is>
      </c>
      <c r="M87" s="52" t="inlineStr"/>
      <c r="N87" s="52" t="inlineStr"/>
      <c r="O87" s="52" t="inlineStr">
        <is>
          <t>Continua em operação</t>
        </is>
      </c>
      <c r="P87" s="52" t="inlineStr">
        <is>
          <t>EX-A0084</t>
        </is>
      </c>
    </row>
    <row r="88">
      <c r="A88" s="51" t="n">
        <v>46249</v>
      </c>
      <c r="B88" s="52" t="inlineStr">
        <is>
          <t>PC-02</t>
        </is>
      </c>
      <c r="C88" s="52" t="inlineStr">
        <is>
          <t>Antônio</t>
        </is>
      </c>
      <c r="D88" s="53" t="n">
        <v>1737.1</v>
      </c>
      <c r="E88" s="53" t="n">
        <v>1745.3</v>
      </c>
      <c r="F88" s="53" t="n">
        <v>8.199999999999999</v>
      </c>
      <c r="G88" s="53" t="n">
        <v>156</v>
      </c>
      <c r="H88" s="52" t="inlineStr">
        <is>
          <t>S-10</t>
        </is>
      </c>
      <c r="I88" s="52" t="n">
        <v>0</v>
      </c>
      <c r="J88" s="52" t="n">
        <v>0</v>
      </c>
      <c r="K88" s="53" t="n">
        <v>19.02</v>
      </c>
      <c r="L88" s="52" t="inlineStr">
        <is>
          <t>L/h</t>
        </is>
      </c>
      <c r="M88" s="52" t="inlineStr"/>
      <c r="N88" s="52" t="inlineStr"/>
      <c r="O88" s="52" t="inlineStr">
        <is>
          <t>Continua em operação</t>
        </is>
      </c>
      <c r="P88" s="52" t="inlineStr">
        <is>
          <t>EX-A0085</t>
        </is>
      </c>
    </row>
    <row r="89">
      <c r="A89" s="51" t="n">
        <v>46249</v>
      </c>
      <c r="B89" s="52" t="inlineStr">
        <is>
          <t>RD-01</t>
        </is>
      </c>
      <c r="C89" s="52" t="inlineStr">
        <is>
          <t>Marcos</t>
        </is>
      </c>
      <c r="D89" s="53" t="n">
        <v>1866.9</v>
      </c>
      <c r="E89" s="53" t="n">
        <v>1877</v>
      </c>
      <c r="F89" s="53" t="n">
        <v>10.1</v>
      </c>
      <c r="G89" s="53" t="n">
        <v>128</v>
      </c>
      <c r="H89" s="52" t="inlineStr">
        <is>
          <t>S-10</t>
        </is>
      </c>
      <c r="I89" s="52" t="n">
        <v>0</v>
      </c>
      <c r="J89" s="52" t="n">
        <v>0</v>
      </c>
      <c r="K89" s="53" t="n">
        <v>12.67</v>
      </c>
      <c r="L89" s="52" t="inlineStr">
        <is>
          <t>L/h</t>
        </is>
      </c>
      <c r="M89" s="52" t="inlineStr"/>
      <c r="N89" s="52" t="inlineStr"/>
      <c r="O89" s="52" t="inlineStr">
        <is>
          <t>Continua em operação</t>
        </is>
      </c>
      <c r="P89" s="52" t="inlineStr">
        <is>
          <t>EX-A0086</t>
        </is>
      </c>
    </row>
    <row r="90">
      <c r="A90" s="51" t="n">
        <v>46249</v>
      </c>
      <c r="B90" s="52" t="inlineStr">
        <is>
          <t>MG-01</t>
        </is>
      </c>
      <c r="C90" s="52" t="inlineStr">
        <is>
          <t>Saulo</t>
        </is>
      </c>
      <c r="D90" s="53" t="n">
        <v>1992.4</v>
      </c>
      <c r="E90" s="53" t="n">
        <v>2002.7</v>
      </c>
      <c r="F90" s="53" t="n">
        <v>10.3</v>
      </c>
      <c r="G90" s="53" t="n">
        <v>130</v>
      </c>
      <c r="H90" s="52" t="inlineStr">
        <is>
          <t>S-10</t>
        </is>
      </c>
      <c r="I90" s="52" t="n">
        <v>0</v>
      </c>
      <c r="J90" s="52" t="n">
        <v>0</v>
      </c>
      <c r="K90" s="53" t="n">
        <v>12.62</v>
      </c>
      <c r="L90" s="52" t="inlineStr">
        <is>
          <t>L/h</t>
        </is>
      </c>
      <c r="M90" s="52" t="inlineStr"/>
      <c r="N90" s="52" t="inlineStr"/>
      <c r="O90" s="52" t="inlineStr">
        <is>
          <t>Continua em operação</t>
        </is>
      </c>
      <c r="P90" s="52" t="inlineStr">
        <is>
          <t>EX-A0087</t>
        </is>
      </c>
    </row>
    <row r="91">
      <c r="A91" s="51" t="n">
        <v>46251</v>
      </c>
      <c r="B91" s="52" t="inlineStr">
        <is>
          <t>CB-01</t>
        </is>
      </c>
      <c r="C91" s="52" t="inlineStr">
        <is>
          <t>Saulo</t>
        </is>
      </c>
      <c r="D91" s="53" t="n">
        <v>1094.6</v>
      </c>
      <c r="E91" s="53" t="n">
        <v>1102.7</v>
      </c>
      <c r="F91" s="53" t="n">
        <v>8.1</v>
      </c>
      <c r="G91" s="53" t="n">
        <v>160</v>
      </c>
      <c r="H91" s="52" t="inlineStr">
        <is>
          <t>S-500</t>
        </is>
      </c>
      <c r="I91" s="53" t="n">
        <v>5</v>
      </c>
      <c r="J91" s="53" t="n">
        <v>332</v>
      </c>
      <c r="K91" s="53" t="n">
        <v>2.08</v>
      </c>
      <c r="L91" s="52" t="inlineStr">
        <is>
          <t>km/L</t>
        </is>
      </c>
      <c r="M91" s="52" t="n">
        <v>336</v>
      </c>
      <c r="N91" s="53" t="n">
        <v>0.48</v>
      </c>
      <c r="O91" s="52" t="inlineStr">
        <is>
          <t>Continua em operação</t>
        </is>
      </c>
      <c r="P91" s="52" t="inlineStr">
        <is>
          <t>EX-A0088</t>
        </is>
      </c>
    </row>
    <row r="92">
      <c r="A92" s="51" t="n">
        <v>46251</v>
      </c>
      <c r="B92" s="52" t="inlineStr">
        <is>
          <t>CB-11</t>
        </is>
      </c>
      <c r="C92" s="52" t="inlineStr">
        <is>
          <t>José</t>
        </is>
      </c>
      <c r="D92" s="53" t="n">
        <v>1225.8</v>
      </c>
      <c r="E92" s="53" t="n">
        <v>1234.2</v>
      </c>
      <c r="F92" s="53" t="n">
        <v>8.4</v>
      </c>
      <c r="G92" s="53" t="n">
        <v>109</v>
      </c>
      <c r="H92" s="52" t="inlineStr">
        <is>
          <t>S-10</t>
        </is>
      </c>
      <c r="I92" s="52" t="n">
        <v>0</v>
      </c>
      <c r="J92" s="53" t="n">
        <v>233</v>
      </c>
      <c r="K92" s="53" t="n">
        <v>2.14</v>
      </c>
      <c r="L92" s="52" t="inlineStr">
        <is>
          <t>km/L</t>
        </is>
      </c>
      <c r="M92" s="52" t="n">
        <v>240</v>
      </c>
      <c r="N92" s="53" t="n">
        <v>0.45</v>
      </c>
      <c r="O92" s="52" t="inlineStr">
        <is>
          <t>Continua em operação</t>
        </is>
      </c>
      <c r="P92" s="52" t="inlineStr">
        <is>
          <t>EX-A0089</t>
        </is>
      </c>
    </row>
    <row r="93">
      <c r="A93" s="51" t="n">
        <v>46251</v>
      </c>
      <c r="B93" s="52" t="inlineStr">
        <is>
          <t>CB-17</t>
        </is>
      </c>
      <c r="C93" s="52" t="inlineStr">
        <is>
          <t>Carlos</t>
        </is>
      </c>
      <c r="D93" s="53" t="n">
        <v>1359.9</v>
      </c>
      <c r="E93" s="53" t="n">
        <v>1369.8</v>
      </c>
      <c r="F93" s="53" t="n">
        <v>9.9</v>
      </c>
      <c r="G93" s="53" t="n">
        <v>109</v>
      </c>
      <c r="H93" s="52" t="inlineStr">
        <is>
          <t>S-10</t>
        </is>
      </c>
      <c r="I93" s="52" t="n">
        <v>0</v>
      </c>
      <c r="J93" s="53" t="n">
        <v>226</v>
      </c>
      <c r="K93" s="53" t="n">
        <v>2.07</v>
      </c>
      <c r="L93" s="52" t="inlineStr">
        <is>
          <t>km/L</t>
        </is>
      </c>
      <c r="M93" s="52" t="n">
        <v>224</v>
      </c>
      <c r="N93" s="53" t="n">
        <v>0.49</v>
      </c>
      <c r="O93" s="52" t="inlineStr">
        <is>
          <t>Continua em operação</t>
        </is>
      </c>
      <c r="P93" s="52" t="inlineStr">
        <is>
          <t>EX-A0090</t>
        </is>
      </c>
    </row>
    <row r="94">
      <c r="A94" s="51" t="n">
        <v>46251</v>
      </c>
      <c r="B94" s="52" t="inlineStr">
        <is>
          <t>CB-22</t>
        </is>
      </c>
      <c r="C94" s="52" t="inlineStr">
        <is>
          <t>Antônio</t>
        </is>
      </c>
      <c r="D94" s="53" t="n">
        <v>1494</v>
      </c>
      <c r="E94" s="53" t="n">
        <v>1502.3</v>
      </c>
      <c r="F94" s="53" t="n">
        <v>8.300000000000001</v>
      </c>
      <c r="G94" s="53" t="n">
        <v>162</v>
      </c>
      <c r="H94" s="52" t="inlineStr">
        <is>
          <t>S-10</t>
        </is>
      </c>
      <c r="I94" s="53" t="n">
        <v>5</v>
      </c>
      <c r="J94" s="53" t="n">
        <v>254</v>
      </c>
      <c r="K94" s="53" t="n">
        <v>1.57</v>
      </c>
      <c r="L94" s="52" t="inlineStr">
        <is>
          <t>km/L</t>
        </is>
      </c>
      <c r="M94" s="52" t="n">
        <v>210</v>
      </c>
      <c r="N94" s="53" t="n">
        <v>0.77</v>
      </c>
      <c r="O94" s="52" t="inlineStr">
        <is>
          <t>Continua em operação</t>
        </is>
      </c>
      <c r="P94" s="52" t="inlineStr">
        <is>
          <t>EX-A0091</t>
        </is>
      </c>
    </row>
    <row r="95">
      <c r="A95" s="51" t="n">
        <v>46251</v>
      </c>
      <c r="B95" s="52" t="inlineStr">
        <is>
          <t>PC-01</t>
        </is>
      </c>
      <c r="C95" s="52" t="inlineStr">
        <is>
          <t>Marcos</t>
        </is>
      </c>
      <c r="D95" s="53" t="n">
        <v>1621.1</v>
      </c>
      <c r="E95" s="53" t="n">
        <v>1629.8</v>
      </c>
      <c r="F95" s="53" t="n">
        <v>8.699999999999999</v>
      </c>
      <c r="G95" s="53" t="n">
        <v>165</v>
      </c>
      <c r="H95" s="52" t="inlineStr">
        <is>
          <t>S-10</t>
        </is>
      </c>
      <c r="I95" s="52" t="n">
        <v>0</v>
      </c>
      <c r="J95" s="52" t="n">
        <v>0</v>
      </c>
      <c r="K95" s="53" t="n">
        <v>18.97</v>
      </c>
      <c r="L95" s="52" t="inlineStr">
        <is>
          <t>L/h</t>
        </is>
      </c>
      <c r="M95" s="52" t="inlineStr"/>
      <c r="N95" s="52" t="inlineStr"/>
      <c r="O95" s="52" t="inlineStr">
        <is>
          <t>Continua em operação</t>
        </is>
      </c>
      <c r="P95" s="52" t="inlineStr">
        <is>
          <t>EX-A0092</t>
        </is>
      </c>
    </row>
    <row r="96">
      <c r="A96" s="51" t="n">
        <v>46251</v>
      </c>
      <c r="B96" s="52" t="inlineStr">
        <is>
          <t>PC-02</t>
        </is>
      </c>
      <c r="C96" s="52" t="inlineStr">
        <is>
          <t>Saulo</t>
        </is>
      </c>
      <c r="D96" s="53" t="n">
        <v>1745.3</v>
      </c>
      <c r="E96" s="53" t="n">
        <v>1755.8</v>
      </c>
      <c r="F96" s="53" t="n">
        <v>10.5</v>
      </c>
      <c r="G96" s="53" t="n">
        <v>209</v>
      </c>
      <c r="H96" s="52" t="inlineStr">
        <is>
          <t>S-10</t>
        </is>
      </c>
      <c r="I96" s="52" t="n">
        <v>0</v>
      </c>
      <c r="J96" s="52" t="n">
        <v>0</v>
      </c>
      <c r="K96" s="53" t="n">
        <v>19.9</v>
      </c>
      <c r="L96" s="52" t="inlineStr">
        <is>
          <t>L/h</t>
        </is>
      </c>
      <c r="M96" s="52" t="inlineStr"/>
      <c r="N96" s="52" t="inlineStr"/>
      <c r="O96" s="52" t="inlineStr">
        <is>
          <t>Continua em operação</t>
        </is>
      </c>
      <c r="P96" s="52" t="inlineStr">
        <is>
          <t>EX-A0093</t>
        </is>
      </c>
    </row>
    <row r="97">
      <c r="A97" s="51" t="n">
        <v>46251</v>
      </c>
      <c r="B97" s="52" t="inlineStr">
        <is>
          <t>RD-01</t>
        </is>
      </c>
      <c r="C97" s="52" t="inlineStr">
        <is>
          <t>José</t>
        </is>
      </c>
      <c r="D97" s="53" t="n">
        <v>1877</v>
      </c>
      <c r="E97" s="53" t="n">
        <v>1885</v>
      </c>
      <c r="F97" s="53" t="n">
        <v>8</v>
      </c>
      <c r="G97" s="53" t="n">
        <v>95</v>
      </c>
      <c r="H97" s="52" t="inlineStr">
        <is>
          <t>S-10</t>
        </is>
      </c>
      <c r="I97" s="52" t="n">
        <v>0</v>
      </c>
      <c r="J97" s="52" t="n">
        <v>0</v>
      </c>
      <c r="K97" s="53" t="n">
        <v>11.88</v>
      </c>
      <c r="L97" s="52" t="inlineStr">
        <is>
          <t>L/h</t>
        </is>
      </c>
      <c r="M97" s="52" t="inlineStr"/>
      <c r="N97" s="52" t="inlineStr"/>
      <c r="O97" s="52" t="inlineStr">
        <is>
          <t>Continua em operação</t>
        </is>
      </c>
      <c r="P97" s="52" t="inlineStr">
        <is>
          <t>EX-A0094</t>
        </is>
      </c>
    </row>
    <row r="98">
      <c r="A98" s="51" t="n">
        <v>46251</v>
      </c>
      <c r="B98" s="52" t="inlineStr">
        <is>
          <t>MG-01</t>
        </is>
      </c>
      <c r="C98" s="52" t="inlineStr">
        <is>
          <t>Carlos</t>
        </is>
      </c>
      <c r="D98" s="53" t="n">
        <v>2002.7</v>
      </c>
      <c r="E98" s="53" t="n">
        <v>2011.7</v>
      </c>
      <c r="F98" s="53" t="n">
        <v>9</v>
      </c>
      <c r="G98" s="53" t="n">
        <v>106</v>
      </c>
      <c r="H98" s="52" t="inlineStr">
        <is>
          <t>S-10</t>
        </is>
      </c>
      <c r="I98" s="52" t="n">
        <v>0</v>
      </c>
      <c r="J98" s="52" t="n">
        <v>0</v>
      </c>
      <c r="K98" s="53" t="n">
        <v>11.78</v>
      </c>
      <c r="L98" s="52" t="inlineStr">
        <is>
          <t>L/h</t>
        </is>
      </c>
      <c r="M98" s="52" t="inlineStr"/>
      <c r="N98" s="52" t="inlineStr"/>
      <c r="O98" s="52" t="inlineStr">
        <is>
          <t>Continua em operação</t>
        </is>
      </c>
      <c r="P98" s="52" t="inlineStr">
        <is>
          <t>EX-A0095</t>
        </is>
      </c>
    </row>
    <row r="99">
      <c r="A99" s="51" t="n">
        <v>46252</v>
      </c>
      <c r="B99" s="52" t="inlineStr">
        <is>
          <t>CB-01</t>
        </is>
      </c>
      <c r="C99" s="52" t="inlineStr">
        <is>
          <t>José</t>
        </is>
      </c>
      <c r="D99" s="53" t="n">
        <v>1102.7</v>
      </c>
      <c r="E99" s="53" t="n">
        <v>1110.8</v>
      </c>
      <c r="F99" s="53" t="n">
        <v>8.1</v>
      </c>
      <c r="G99" s="53" t="n">
        <v>138</v>
      </c>
      <c r="H99" s="52" t="inlineStr">
        <is>
          <t>S-500</t>
        </is>
      </c>
      <c r="I99" s="53" t="n">
        <v>4</v>
      </c>
      <c r="J99" s="53" t="n">
        <v>276</v>
      </c>
      <c r="K99" s="53" t="n">
        <v>2</v>
      </c>
      <c r="L99" s="52" t="inlineStr">
        <is>
          <t>km/L</t>
        </is>
      </c>
      <c r="M99" s="52" t="n">
        <v>280</v>
      </c>
      <c r="N99" s="53" t="n">
        <v>0.49</v>
      </c>
      <c r="O99" s="52" t="inlineStr">
        <is>
          <t>Continua em operação</t>
        </is>
      </c>
      <c r="P99" s="52" t="inlineStr">
        <is>
          <t>EX-A0096</t>
        </is>
      </c>
    </row>
    <row r="100">
      <c r="A100" s="51" t="n">
        <v>46252</v>
      </c>
      <c r="B100" s="52" t="inlineStr">
        <is>
          <t>CB-11</t>
        </is>
      </c>
      <c r="C100" s="52" t="inlineStr">
        <is>
          <t>Carlos</t>
        </is>
      </c>
      <c r="D100" s="53" t="n">
        <v>1234.2</v>
      </c>
      <c r="E100" s="53" t="n">
        <v>1243.4</v>
      </c>
      <c r="F100" s="53" t="n">
        <v>9.199999999999999</v>
      </c>
      <c r="G100" s="53" t="n">
        <v>174</v>
      </c>
      <c r="H100" s="52" t="inlineStr">
        <is>
          <t>S-10</t>
        </is>
      </c>
      <c r="I100" s="52" t="n">
        <v>0</v>
      </c>
      <c r="J100" s="53" t="n">
        <v>359</v>
      </c>
      <c r="K100" s="53" t="n">
        <v>2.06</v>
      </c>
      <c r="L100" s="52" t="inlineStr">
        <is>
          <t>km/L</t>
        </is>
      </c>
      <c r="M100" s="52" t="n">
        <v>384</v>
      </c>
      <c r="N100" s="53" t="n">
        <v>0.45</v>
      </c>
      <c r="O100" s="52" t="inlineStr">
        <is>
          <t>Continua em operação</t>
        </is>
      </c>
      <c r="P100" s="52" t="inlineStr">
        <is>
          <t>EX-A0097</t>
        </is>
      </c>
    </row>
    <row r="101">
      <c r="A101" s="51" t="n">
        <v>46252</v>
      </c>
      <c r="B101" s="52" t="inlineStr">
        <is>
          <t>CB-17</t>
        </is>
      </c>
      <c r="C101" s="52" t="inlineStr">
        <is>
          <t>Antônio</t>
        </is>
      </c>
      <c r="D101" s="53" t="n">
        <v>1369.8</v>
      </c>
      <c r="E101" s="53" t="n">
        <v>1379.2</v>
      </c>
      <c r="F101" s="53" t="n">
        <v>9.4</v>
      </c>
      <c r="G101" s="53" t="n">
        <v>85</v>
      </c>
      <c r="H101" s="52" t="inlineStr">
        <is>
          <t>S-10</t>
        </is>
      </c>
      <c r="I101" s="52" t="n">
        <v>0</v>
      </c>
      <c r="J101" s="53" t="n">
        <v>184</v>
      </c>
      <c r="K101" s="53" t="n">
        <v>2.16</v>
      </c>
      <c r="L101" s="52" t="inlineStr">
        <is>
          <t>km/L</t>
        </is>
      </c>
      <c r="M101" s="52" t="n">
        <v>168</v>
      </c>
      <c r="N101" s="53" t="n">
        <v>0.51</v>
      </c>
      <c r="O101" s="52" t="inlineStr">
        <is>
          <t>Continua em operação</t>
        </is>
      </c>
      <c r="P101" s="52" t="inlineStr">
        <is>
          <t>EX-A0098</t>
        </is>
      </c>
    </row>
    <row r="102">
      <c r="A102" s="51" t="n">
        <v>46252</v>
      </c>
      <c r="B102" s="52" t="inlineStr">
        <is>
          <t>CB-22</t>
        </is>
      </c>
      <c r="C102" s="52" t="inlineStr">
        <is>
          <t>Marcos</t>
        </is>
      </c>
      <c r="D102" s="53" t="n">
        <v>1502.3</v>
      </c>
      <c r="E102" s="53" t="n">
        <v>1512.7</v>
      </c>
      <c r="F102" s="53" t="n">
        <v>10.4</v>
      </c>
      <c r="G102" s="53" t="n">
        <v>131</v>
      </c>
      <c r="H102" s="52" t="inlineStr">
        <is>
          <t>S-10</t>
        </is>
      </c>
      <c r="I102" s="53" t="n">
        <v>4</v>
      </c>
      <c r="J102" s="53" t="n">
        <v>187</v>
      </c>
      <c r="K102" s="53" t="n">
        <v>1.43</v>
      </c>
      <c r="L102" s="52" t="inlineStr">
        <is>
          <t>km/L</t>
        </is>
      </c>
      <c r="M102" s="52" t="n">
        <v>168</v>
      </c>
      <c r="N102" s="53" t="n">
        <v>0.78</v>
      </c>
      <c r="O102" s="52" t="inlineStr">
        <is>
          <t>Continua em operação</t>
        </is>
      </c>
      <c r="P102" s="52" t="inlineStr">
        <is>
          <t>EX-A0099</t>
        </is>
      </c>
    </row>
    <row r="103">
      <c r="A103" s="51" t="n">
        <v>46252</v>
      </c>
      <c r="B103" s="52" t="inlineStr">
        <is>
          <t>PC-01</t>
        </is>
      </c>
      <c r="C103" s="52" t="inlineStr">
        <is>
          <t>Saulo</t>
        </is>
      </c>
      <c r="D103" s="53" t="n">
        <v>1629.8</v>
      </c>
      <c r="E103" s="53" t="n">
        <v>1639.6</v>
      </c>
      <c r="F103" s="53" t="n">
        <v>9.800000000000001</v>
      </c>
      <c r="G103" s="53" t="n">
        <v>180</v>
      </c>
      <c r="H103" s="52" t="inlineStr">
        <is>
          <t>S-10</t>
        </is>
      </c>
      <c r="I103" s="52" t="n">
        <v>0</v>
      </c>
      <c r="J103" s="52" t="n">
        <v>0</v>
      </c>
      <c r="K103" s="53" t="n">
        <v>18.37</v>
      </c>
      <c r="L103" s="52" t="inlineStr">
        <is>
          <t>L/h</t>
        </is>
      </c>
      <c r="M103" s="52" t="inlineStr"/>
      <c r="N103" s="52" t="inlineStr"/>
      <c r="O103" s="52" t="inlineStr">
        <is>
          <t>Continua em operação</t>
        </is>
      </c>
      <c r="P103" s="52" t="inlineStr">
        <is>
          <t>EX-A0100</t>
        </is>
      </c>
    </row>
    <row r="104">
      <c r="A104" s="51" t="n">
        <v>46252</v>
      </c>
      <c r="B104" s="52" t="inlineStr">
        <is>
          <t>PC-02</t>
        </is>
      </c>
      <c r="C104" s="52" t="inlineStr">
        <is>
          <t>José</t>
        </is>
      </c>
      <c r="D104" s="53" t="n">
        <v>1755.8</v>
      </c>
      <c r="E104" s="53" t="n">
        <v>1763.7</v>
      </c>
      <c r="F104" s="53" t="n">
        <v>7.9</v>
      </c>
      <c r="G104" s="53" t="n">
        <v>148</v>
      </c>
      <c r="H104" s="52" t="inlineStr">
        <is>
          <t>S-10</t>
        </is>
      </c>
      <c r="I104" s="52" t="n">
        <v>0</v>
      </c>
      <c r="J104" s="52" t="n">
        <v>0</v>
      </c>
      <c r="K104" s="53" t="n">
        <v>18.73</v>
      </c>
      <c r="L104" s="52" t="inlineStr">
        <is>
          <t>L/h</t>
        </is>
      </c>
      <c r="M104" s="52" t="inlineStr"/>
      <c r="N104" s="52" t="inlineStr"/>
      <c r="O104" s="52" t="inlineStr">
        <is>
          <t>Continua em operação</t>
        </is>
      </c>
      <c r="P104" s="52" t="inlineStr">
        <is>
          <t>EX-A0101</t>
        </is>
      </c>
    </row>
    <row r="105">
      <c r="A105" s="51" t="n">
        <v>46252</v>
      </c>
      <c r="B105" s="52" t="inlineStr">
        <is>
          <t>RD-01</t>
        </is>
      </c>
      <c r="C105" s="52" t="inlineStr">
        <is>
          <t>Carlos</t>
        </is>
      </c>
      <c r="D105" s="53" t="n">
        <v>1885</v>
      </c>
      <c r="E105" s="53" t="n">
        <v>1895.2</v>
      </c>
      <c r="F105" s="53" t="n">
        <v>10.2</v>
      </c>
      <c r="G105" s="53" t="n">
        <v>128</v>
      </c>
      <c r="H105" s="52" t="inlineStr">
        <is>
          <t>S-10</t>
        </is>
      </c>
      <c r="I105" s="52" t="n">
        <v>0</v>
      </c>
      <c r="J105" s="52" t="n">
        <v>0</v>
      </c>
      <c r="K105" s="53" t="n">
        <v>12.55</v>
      </c>
      <c r="L105" s="52" t="inlineStr">
        <is>
          <t>L/h</t>
        </is>
      </c>
      <c r="M105" s="52" t="inlineStr"/>
      <c r="N105" s="52" t="inlineStr"/>
      <c r="O105" s="52" t="inlineStr">
        <is>
          <t>Continua em operação</t>
        </is>
      </c>
      <c r="P105" s="52" t="inlineStr">
        <is>
          <t>EX-A0102</t>
        </is>
      </c>
    </row>
    <row r="106">
      <c r="A106" s="51" t="n">
        <v>46252</v>
      </c>
      <c r="B106" s="52" t="inlineStr">
        <is>
          <t>MG-01</t>
        </is>
      </c>
      <c r="C106" s="52" t="inlineStr">
        <is>
          <t>Antônio</t>
        </is>
      </c>
      <c r="D106" s="53" t="n">
        <v>2011.7</v>
      </c>
      <c r="E106" s="53" t="n">
        <v>2020</v>
      </c>
      <c r="F106" s="53" t="n">
        <v>8.300000000000001</v>
      </c>
      <c r="G106" s="53" t="n">
        <v>95</v>
      </c>
      <c r="H106" s="52" t="inlineStr">
        <is>
          <t>S-10</t>
        </is>
      </c>
      <c r="I106" s="52" t="n">
        <v>0</v>
      </c>
      <c r="J106" s="52" t="n">
        <v>0</v>
      </c>
      <c r="K106" s="53" t="n">
        <v>11.45</v>
      </c>
      <c r="L106" s="52" t="inlineStr">
        <is>
          <t>L/h</t>
        </is>
      </c>
      <c r="M106" s="52" t="inlineStr"/>
      <c r="N106" s="52" t="inlineStr"/>
      <c r="O106" s="52" t="inlineStr">
        <is>
          <t>Continua em operação</t>
        </is>
      </c>
      <c r="P106" s="52" t="inlineStr">
        <is>
          <t>EX-A0103</t>
        </is>
      </c>
    </row>
    <row r="107">
      <c r="A107" s="51" t="n">
        <v>46253</v>
      </c>
      <c r="B107" s="52" t="inlineStr">
        <is>
          <t>CB-01</t>
        </is>
      </c>
      <c r="C107" s="52" t="inlineStr">
        <is>
          <t>Carlos</t>
        </is>
      </c>
      <c r="D107" s="53" t="n">
        <v>1110.8</v>
      </c>
      <c r="E107" s="53" t="n">
        <v>1121.1</v>
      </c>
      <c r="F107" s="53" t="n">
        <v>10.3</v>
      </c>
      <c r="G107" s="53" t="n">
        <v>180</v>
      </c>
      <c r="H107" s="52" t="inlineStr">
        <is>
          <t>S-500</t>
        </is>
      </c>
      <c r="I107" s="53" t="n">
        <v>5</v>
      </c>
      <c r="J107" s="53" t="n">
        <v>370</v>
      </c>
      <c r="K107" s="53" t="n">
        <v>2.06</v>
      </c>
      <c r="L107" s="52" t="inlineStr">
        <is>
          <t>km/L</t>
        </is>
      </c>
      <c r="M107" s="52" t="n">
        <v>384</v>
      </c>
      <c r="N107" s="53" t="n">
        <v>0.47</v>
      </c>
      <c r="O107" s="52" t="inlineStr">
        <is>
          <t>Continua em operação</t>
        </is>
      </c>
      <c r="P107" s="52" t="inlineStr">
        <is>
          <t>EX-A0104</t>
        </is>
      </c>
    </row>
    <row r="108">
      <c r="A108" s="51" t="n">
        <v>46253</v>
      </c>
      <c r="B108" s="52" t="inlineStr">
        <is>
          <t>CB-11</t>
        </is>
      </c>
      <c r="C108" s="52" t="inlineStr">
        <is>
          <t>Antônio</t>
        </is>
      </c>
      <c r="D108" s="53" t="n">
        <v>1243.4</v>
      </c>
      <c r="E108" s="53" t="n">
        <v>1253.3</v>
      </c>
      <c r="F108" s="53" t="n">
        <v>9.9</v>
      </c>
      <c r="G108" s="53" t="n">
        <v>106</v>
      </c>
      <c r="H108" s="52" t="inlineStr">
        <is>
          <t>S-10</t>
        </is>
      </c>
      <c r="I108" s="52" t="n">
        <v>0</v>
      </c>
      <c r="J108" s="53" t="n">
        <v>217</v>
      </c>
      <c r="K108" s="53" t="n">
        <v>2.05</v>
      </c>
      <c r="L108" s="52" t="inlineStr">
        <is>
          <t>km/L</t>
        </is>
      </c>
      <c r="M108" s="52" t="n">
        <v>210</v>
      </c>
      <c r="N108" s="53" t="n">
        <v>0.5</v>
      </c>
      <c r="O108" s="52" t="inlineStr">
        <is>
          <t>Continua em operação</t>
        </is>
      </c>
      <c r="P108" s="52" t="inlineStr">
        <is>
          <t>EX-A0105</t>
        </is>
      </c>
    </row>
    <row r="109">
      <c r="A109" s="51" t="n">
        <v>46253</v>
      </c>
      <c r="B109" s="52" t="inlineStr">
        <is>
          <t>CB-17</t>
        </is>
      </c>
      <c r="C109" s="52" t="inlineStr">
        <is>
          <t>Marcos</t>
        </is>
      </c>
      <c r="D109" s="53" t="n">
        <v>1379.2</v>
      </c>
      <c r="E109" s="53" t="n">
        <v>1386.8</v>
      </c>
      <c r="F109" s="53" t="n">
        <v>7.6</v>
      </c>
      <c r="G109" s="53" t="n">
        <v>82</v>
      </c>
      <c r="H109" s="52" t="inlineStr">
        <is>
          <t>S-10</t>
        </is>
      </c>
      <c r="I109" s="52" t="n">
        <v>0</v>
      </c>
      <c r="J109" s="53" t="n">
        <v>178</v>
      </c>
      <c r="K109" s="53" t="n">
        <v>2.17</v>
      </c>
      <c r="L109" s="52" t="inlineStr">
        <is>
          <t>km/L</t>
        </is>
      </c>
      <c r="M109" s="52" t="n">
        <v>180</v>
      </c>
      <c r="N109" s="53" t="n">
        <v>0.46</v>
      </c>
      <c r="O109" s="52" t="inlineStr">
        <is>
          <t>Continua em operação</t>
        </is>
      </c>
      <c r="P109" s="52" t="inlineStr">
        <is>
          <t>EX-A0106</t>
        </is>
      </c>
    </row>
    <row r="110">
      <c r="A110" s="51" t="n">
        <v>46253</v>
      </c>
      <c r="B110" s="52" t="inlineStr">
        <is>
          <t>CB-22</t>
        </is>
      </c>
      <c r="C110" s="52" t="inlineStr">
        <is>
          <t>Saulo</t>
        </is>
      </c>
      <c r="D110" s="53" t="n">
        <v>1512.7</v>
      </c>
      <c r="E110" s="53" t="n">
        <v>1520.4</v>
      </c>
      <c r="F110" s="53" t="n">
        <v>7.7</v>
      </c>
      <c r="G110" s="53" t="n">
        <v>136</v>
      </c>
      <c r="H110" s="52" t="inlineStr">
        <is>
          <t>S-10</t>
        </is>
      </c>
      <c r="I110" s="53" t="n">
        <v>4</v>
      </c>
      <c r="J110" s="53" t="n">
        <v>214</v>
      </c>
      <c r="K110" s="53" t="n">
        <v>1.57</v>
      </c>
      <c r="L110" s="52" t="inlineStr">
        <is>
          <t>km/L</t>
        </is>
      </c>
      <c r="M110" s="52" t="n">
        <v>180</v>
      </c>
      <c r="N110" s="53" t="n">
        <v>0.76</v>
      </c>
      <c r="O110" s="52" t="inlineStr">
        <is>
          <t>Continua em operação</t>
        </is>
      </c>
      <c r="P110" s="52" t="inlineStr">
        <is>
          <t>EX-A0107</t>
        </is>
      </c>
    </row>
    <row r="111">
      <c r="A111" s="51" t="n">
        <v>46253</v>
      </c>
      <c r="B111" s="52" t="inlineStr">
        <is>
          <t>PC-01</t>
        </is>
      </c>
      <c r="C111" s="52" t="inlineStr">
        <is>
          <t>José</t>
        </is>
      </c>
      <c r="D111" s="53" t="n">
        <v>1639.6</v>
      </c>
      <c r="E111" s="53" t="n">
        <v>1648.4</v>
      </c>
      <c r="F111" s="53" t="n">
        <v>8.800000000000001</v>
      </c>
      <c r="G111" s="53" t="n">
        <v>177</v>
      </c>
      <c r="H111" s="52" t="inlineStr">
        <is>
          <t>S-10</t>
        </is>
      </c>
      <c r="I111" s="52" t="n">
        <v>0</v>
      </c>
      <c r="J111" s="52" t="n">
        <v>0</v>
      </c>
      <c r="K111" s="53" t="n">
        <v>20.11</v>
      </c>
      <c r="L111" s="52" t="inlineStr">
        <is>
          <t>L/h</t>
        </is>
      </c>
      <c r="M111" s="52" t="inlineStr"/>
      <c r="N111" s="52" t="inlineStr"/>
      <c r="O111" s="52" t="inlineStr">
        <is>
          <t>Continua em operação</t>
        </is>
      </c>
      <c r="P111" s="52" t="inlineStr">
        <is>
          <t>EX-A0108</t>
        </is>
      </c>
    </row>
    <row r="112">
      <c r="A112" s="51" t="n">
        <v>46253</v>
      </c>
      <c r="B112" s="52" t="inlineStr">
        <is>
          <t>PC-02</t>
        </is>
      </c>
      <c r="C112" s="52" t="inlineStr">
        <is>
          <t>Carlos</t>
        </is>
      </c>
      <c r="D112" s="53" t="n">
        <v>1763.7</v>
      </c>
      <c r="E112" s="53" t="n">
        <v>1773.1</v>
      </c>
      <c r="F112" s="53" t="n">
        <v>9.4</v>
      </c>
      <c r="G112" s="53" t="n">
        <v>167</v>
      </c>
      <c r="H112" s="52" t="inlineStr">
        <is>
          <t>S-10</t>
        </is>
      </c>
      <c r="I112" s="52" t="n">
        <v>0</v>
      </c>
      <c r="J112" s="52" t="n">
        <v>0</v>
      </c>
      <c r="K112" s="53" t="n">
        <v>17.77</v>
      </c>
      <c r="L112" s="52" t="inlineStr">
        <is>
          <t>L/h</t>
        </is>
      </c>
      <c r="M112" s="52" t="inlineStr"/>
      <c r="N112" s="52" t="inlineStr"/>
      <c r="O112" s="52" t="inlineStr">
        <is>
          <t>Continua em operação</t>
        </is>
      </c>
      <c r="P112" s="52" t="inlineStr">
        <is>
          <t>EX-A0109</t>
        </is>
      </c>
    </row>
    <row r="113">
      <c r="A113" s="51" t="n">
        <v>46253</v>
      </c>
      <c r="B113" s="52" t="inlineStr">
        <is>
          <t>RD-01</t>
        </is>
      </c>
      <c r="C113" s="52" t="inlineStr">
        <is>
          <t>Antônio</t>
        </is>
      </c>
      <c r="D113" s="53" t="n">
        <v>1895.2</v>
      </c>
      <c r="E113" s="53" t="n">
        <v>1904.8</v>
      </c>
      <c r="F113" s="53" t="n">
        <v>9.6</v>
      </c>
      <c r="G113" s="53" t="n">
        <v>122</v>
      </c>
      <c r="H113" s="52" t="inlineStr">
        <is>
          <t>S-10</t>
        </is>
      </c>
      <c r="I113" s="52" t="n">
        <v>0</v>
      </c>
      <c r="J113" s="52" t="n">
        <v>0</v>
      </c>
      <c r="K113" s="53" t="n">
        <v>12.71</v>
      </c>
      <c r="L113" s="52" t="inlineStr">
        <is>
          <t>L/h</t>
        </is>
      </c>
      <c r="M113" s="52" t="inlineStr"/>
      <c r="N113" s="52" t="inlineStr"/>
      <c r="O113" s="52" t="inlineStr">
        <is>
          <t>Continua em operação</t>
        </is>
      </c>
      <c r="P113" s="52" t="inlineStr">
        <is>
          <t>EX-A0110</t>
        </is>
      </c>
    </row>
    <row r="114">
      <c r="A114" s="51" t="n">
        <v>46253</v>
      </c>
      <c r="B114" s="52" t="inlineStr">
        <is>
          <t>MG-01</t>
        </is>
      </c>
      <c r="C114" s="52" t="inlineStr">
        <is>
          <t>Marcos</t>
        </is>
      </c>
      <c r="D114" s="53" t="n">
        <v>2020</v>
      </c>
      <c r="E114" s="53" t="n">
        <v>2030.4</v>
      </c>
      <c r="F114" s="53" t="n">
        <v>10.4</v>
      </c>
      <c r="G114" s="53" t="n">
        <v>121</v>
      </c>
      <c r="H114" s="52" t="inlineStr">
        <is>
          <t>S-10</t>
        </is>
      </c>
      <c r="I114" s="52" t="n">
        <v>0</v>
      </c>
      <c r="J114" s="52" t="n">
        <v>0</v>
      </c>
      <c r="K114" s="53" t="n">
        <v>11.63</v>
      </c>
      <c r="L114" s="52" t="inlineStr">
        <is>
          <t>L/h</t>
        </is>
      </c>
      <c r="M114" s="52" t="inlineStr"/>
      <c r="N114" s="52" t="inlineStr"/>
      <c r="O114" s="52" t="inlineStr">
        <is>
          <t>Continua em operação</t>
        </is>
      </c>
      <c r="P114" s="52" t="inlineStr">
        <is>
          <t>EX-A0111</t>
        </is>
      </c>
    </row>
    <row r="115">
      <c r="A115" s="51" t="n">
        <v>46254</v>
      </c>
      <c r="B115" s="52" t="inlineStr">
        <is>
          <t>CB-01</t>
        </is>
      </c>
      <c r="C115" s="52" t="inlineStr">
        <is>
          <t>Antônio</t>
        </is>
      </c>
      <c r="D115" s="53" t="n">
        <v>1121.1</v>
      </c>
      <c r="E115" s="53" t="n">
        <v>1129.1</v>
      </c>
      <c r="F115" s="53" t="n">
        <v>8</v>
      </c>
      <c r="G115" s="53" t="n">
        <v>135</v>
      </c>
      <c r="H115" s="52" t="inlineStr">
        <is>
          <t>S-500</t>
        </is>
      </c>
      <c r="I115" s="53" t="n">
        <v>4</v>
      </c>
      <c r="J115" s="53" t="n">
        <v>291</v>
      </c>
      <c r="K115" s="53" t="n">
        <v>2.16</v>
      </c>
      <c r="L115" s="52" t="inlineStr">
        <is>
          <t>km/L</t>
        </is>
      </c>
      <c r="M115" s="52" t="n">
        <v>288</v>
      </c>
      <c r="N115" s="53" t="n">
        <v>0.47</v>
      </c>
      <c r="O115" s="52" t="inlineStr">
        <is>
          <t>Continua em operação</t>
        </is>
      </c>
      <c r="P115" s="52" t="inlineStr">
        <is>
          <t>EX-A0112</t>
        </is>
      </c>
    </row>
    <row r="116">
      <c r="A116" s="51" t="n">
        <v>46254</v>
      </c>
      <c r="B116" s="52" t="inlineStr">
        <is>
          <t>CB-11</t>
        </is>
      </c>
      <c r="C116" s="52" t="inlineStr">
        <is>
          <t>Marcos</t>
        </is>
      </c>
      <c r="D116" s="53" t="n">
        <v>1253.3</v>
      </c>
      <c r="E116" s="53" t="n">
        <v>1261.7</v>
      </c>
      <c r="F116" s="53" t="n">
        <v>8.4</v>
      </c>
      <c r="G116" s="53" t="n">
        <v>99</v>
      </c>
      <c r="H116" s="52" t="inlineStr">
        <is>
          <t>S-10</t>
        </is>
      </c>
      <c r="I116" s="52" t="n">
        <v>0</v>
      </c>
      <c r="J116" s="53" t="n">
        <v>198</v>
      </c>
      <c r="K116" s="53" t="n">
        <v>2</v>
      </c>
      <c r="L116" s="52" t="inlineStr">
        <is>
          <t>km/L</t>
        </is>
      </c>
      <c r="M116" s="52" t="n">
        <v>210</v>
      </c>
      <c r="N116" s="53" t="n">
        <v>0.47</v>
      </c>
      <c r="O116" s="52" t="inlineStr">
        <is>
          <t>Continua em operação</t>
        </is>
      </c>
      <c r="P116" s="52" t="inlineStr">
        <is>
          <t>EX-A0113</t>
        </is>
      </c>
    </row>
    <row r="117">
      <c r="A117" s="51" t="n">
        <v>46254</v>
      </c>
      <c r="B117" s="52" t="inlineStr">
        <is>
          <t>CB-17</t>
        </is>
      </c>
      <c r="C117" s="52" t="inlineStr">
        <is>
          <t>Saulo</t>
        </is>
      </c>
      <c r="D117" s="53" t="n">
        <v>1386.8</v>
      </c>
      <c r="E117" s="53" t="n">
        <v>1395.1</v>
      </c>
      <c r="F117" s="53" t="n">
        <v>8.300000000000001</v>
      </c>
      <c r="G117" s="53" t="n">
        <v>69</v>
      </c>
      <c r="H117" s="52" t="inlineStr">
        <is>
          <t>S-10</t>
        </is>
      </c>
      <c r="I117" s="52" t="n">
        <v>0</v>
      </c>
      <c r="J117" s="53" t="n">
        <v>146</v>
      </c>
      <c r="K117" s="53" t="n">
        <v>2.12</v>
      </c>
      <c r="L117" s="52" t="inlineStr">
        <is>
          <t>km/L</t>
        </is>
      </c>
      <c r="M117" s="52" t="n">
        <v>140</v>
      </c>
      <c r="N117" s="53" t="n">
        <v>0.49</v>
      </c>
      <c r="O117" s="52" t="inlineStr">
        <is>
          <t>Continua em operação</t>
        </is>
      </c>
      <c r="P117" s="52" t="inlineStr">
        <is>
          <t>EX-A0114</t>
        </is>
      </c>
    </row>
    <row r="118">
      <c r="A118" s="51" t="n">
        <v>46254</v>
      </c>
      <c r="B118" s="52" t="inlineStr">
        <is>
          <t>CB-22</t>
        </is>
      </c>
      <c r="C118" s="52" t="inlineStr">
        <is>
          <t>José</t>
        </is>
      </c>
      <c r="D118" s="53" t="n">
        <v>1520.4</v>
      </c>
      <c r="E118" s="53" t="n">
        <v>1528.5</v>
      </c>
      <c r="F118" s="53" t="n">
        <v>8.1</v>
      </c>
      <c r="G118" s="53" t="n">
        <v>283</v>
      </c>
      <c r="H118" s="52" t="inlineStr">
        <is>
          <t>S-10</t>
        </is>
      </c>
      <c r="I118" s="53" t="n">
        <v>8</v>
      </c>
      <c r="J118" s="53" t="n">
        <v>408</v>
      </c>
      <c r="K118" s="53" t="n">
        <v>1.44</v>
      </c>
      <c r="L118" s="52" t="inlineStr">
        <is>
          <t>km/L</t>
        </is>
      </c>
      <c r="M118" s="52" t="n">
        <v>336</v>
      </c>
      <c r="N118" s="53" t="n">
        <v>0.84</v>
      </c>
      <c r="O118" s="52" t="inlineStr">
        <is>
          <t>Continua em operação</t>
        </is>
      </c>
      <c r="P118" s="52" t="inlineStr">
        <is>
          <t>EX-A0115</t>
        </is>
      </c>
    </row>
    <row r="119">
      <c r="A119" s="51" t="n">
        <v>46254</v>
      </c>
      <c r="B119" s="52" t="inlineStr">
        <is>
          <t>PC-01</t>
        </is>
      </c>
      <c r="C119" s="52" t="inlineStr">
        <is>
          <t>Carlos</t>
        </is>
      </c>
      <c r="D119" s="53" t="n">
        <v>1648.4</v>
      </c>
      <c r="E119" s="53" t="n">
        <v>1658.4</v>
      </c>
      <c r="F119" s="53" t="n">
        <v>10</v>
      </c>
      <c r="G119" s="53" t="n">
        <v>188</v>
      </c>
      <c r="H119" s="52" t="inlineStr">
        <is>
          <t>S-10</t>
        </is>
      </c>
      <c r="I119" s="52" t="n">
        <v>0</v>
      </c>
      <c r="J119" s="52" t="n">
        <v>0</v>
      </c>
      <c r="K119" s="53" t="n">
        <v>18.8</v>
      </c>
      <c r="L119" s="52" t="inlineStr">
        <is>
          <t>L/h</t>
        </is>
      </c>
      <c r="M119" s="52" t="inlineStr"/>
      <c r="N119" s="52" t="inlineStr"/>
      <c r="O119" s="52" t="inlineStr">
        <is>
          <t>Continua em operação</t>
        </is>
      </c>
      <c r="P119" s="52" t="inlineStr">
        <is>
          <t>EX-A0116</t>
        </is>
      </c>
    </row>
    <row r="120">
      <c r="A120" s="51" t="n">
        <v>46254</v>
      </c>
      <c r="B120" s="52" t="inlineStr">
        <is>
          <t>PC-02</t>
        </is>
      </c>
      <c r="C120" s="52" t="inlineStr">
        <is>
          <t>Antônio</t>
        </is>
      </c>
      <c r="D120" s="53" t="n">
        <v>1773.1</v>
      </c>
      <c r="E120" s="53" t="n">
        <v>1782.1</v>
      </c>
      <c r="F120" s="53" t="n">
        <v>9</v>
      </c>
      <c r="G120" s="53" t="n">
        <v>179</v>
      </c>
      <c r="H120" s="52" t="inlineStr">
        <is>
          <t>S-10</t>
        </is>
      </c>
      <c r="I120" s="52" t="n">
        <v>0</v>
      </c>
      <c r="J120" s="52" t="n">
        <v>0</v>
      </c>
      <c r="K120" s="53" t="n">
        <v>19.89</v>
      </c>
      <c r="L120" s="52" t="inlineStr">
        <is>
          <t>L/h</t>
        </is>
      </c>
      <c r="M120" s="52" t="inlineStr"/>
      <c r="N120" s="52" t="inlineStr"/>
      <c r="O120" s="52" t="inlineStr">
        <is>
          <t>Continua em operação</t>
        </is>
      </c>
      <c r="P120" s="52" t="inlineStr">
        <is>
          <t>EX-A0117</t>
        </is>
      </c>
    </row>
    <row r="121">
      <c r="A121" s="51" t="n">
        <v>46254</v>
      </c>
      <c r="B121" s="52" t="inlineStr">
        <is>
          <t>RD-01</t>
        </is>
      </c>
      <c r="C121" s="52" t="inlineStr">
        <is>
          <t>Marcos</t>
        </is>
      </c>
      <c r="D121" s="53" t="n">
        <v>1904.8</v>
      </c>
      <c r="E121" s="53" t="n">
        <v>1913.5</v>
      </c>
      <c r="F121" s="53" t="n">
        <v>8.699999999999999</v>
      </c>
      <c r="G121" s="53" t="n">
        <v>104</v>
      </c>
      <c r="H121" s="52" t="inlineStr">
        <is>
          <t>S-10</t>
        </is>
      </c>
      <c r="I121" s="52" t="n">
        <v>0</v>
      </c>
      <c r="J121" s="52" t="n">
        <v>0</v>
      </c>
      <c r="K121" s="53" t="n">
        <v>11.95</v>
      </c>
      <c r="L121" s="52" t="inlineStr">
        <is>
          <t>L/h</t>
        </is>
      </c>
      <c r="M121" s="52" t="inlineStr"/>
      <c r="N121" s="52" t="inlineStr"/>
      <c r="O121" s="52" t="inlineStr">
        <is>
          <t>Continua em operação</t>
        </is>
      </c>
      <c r="P121" s="52" t="inlineStr">
        <is>
          <t>EX-A0118</t>
        </is>
      </c>
    </row>
    <row r="122">
      <c r="A122" s="51" t="n">
        <v>46254</v>
      </c>
      <c r="B122" s="52" t="inlineStr">
        <is>
          <t>MG-01</t>
        </is>
      </c>
      <c r="C122" s="52" t="inlineStr">
        <is>
          <t>Saulo</t>
        </is>
      </c>
      <c r="D122" s="53" t="n">
        <v>2030.4</v>
      </c>
      <c r="E122" s="53" t="n">
        <v>2040</v>
      </c>
      <c r="F122" s="53" t="n">
        <v>9.6</v>
      </c>
      <c r="G122" s="53" t="n">
        <v>123</v>
      </c>
      <c r="H122" s="52" t="inlineStr">
        <is>
          <t>S-10</t>
        </is>
      </c>
      <c r="I122" s="52" t="n">
        <v>0</v>
      </c>
      <c r="J122" s="52" t="n">
        <v>0</v>
      </c>
      <c r="K122" s="53" t="n">
        <v>12.81</v>
      </c>
      <c r="L122" s="52" t="inlineStr">
        <is>
          <t>L/h</t>
        </is>
      </c>
      <c r="M122" s="52" t="inlineStr"/>
      <c r="N122" s="52" t="inlineStr"/>
      <c r="O122" s="52" t="inlineStr">
        <is>
          <t>Continua em operação</t>
        </is>
      </c>
      <c r="P122" s="52" t="inlineStr">
        <is>
          <t>EX-A0119</t>
        </is>
      </c>
    </row>
    <row r="123">
      <c r="A123" s="51" t="n">
        <v>46255</v>
      </c>
      <c r="B123" s="52" t="inlineStr">
        <is>
          <t>CB-01</t>
        </is>
      </c>
      <c r="C123" s="52" t="inlineStr">
        <is>
          <t>Marcos</t>
        </is>
      </c>
      <c r="D123" s="53" t="n">
        <v>1129.1</v>
      </c>
      <c r="E123" s="53" t="n">
        <v>1137.6</v>
      </c>
      <c r="F123" s="53" t="n">
        <v>8.5</v>
      </c>
      <c r="G123" s="53" t="n">
        <v>107</v>
      </c>
      <c r="H123" s="52" t="inlineStr">
        <is>
          <t>S-500</t>
        </is>
      </c>
      <c r="I123" s="53" t="n">
        <v>3</v>
      </c>
      <c r="J123" s="53" t="n">
        <v>236</v>
      </c>
      <c r="K123" s="53" t="n">
        <v>2.21</v>
      </c>
      <c r="L123" s="52" t="inlineStr">
        <is>
          <t>km/L</t>
        </is>
      </c>
      <c r="M123" s="52" t="n">
        <v>210</v>
      </c>
      <c r="N123" s="53" t="n">
        <v>0.51</v>
      </c>
      <c r="O123" s="52" t="inlineStr">
        <is>
          <t>Continua em operação</t>
        </is>
      </c>
      <c r="P123" s="52" t="inlineStr">
        <is>
          <t>EX-A0120</t>
        </is>
      </c>
    </row>
    <row r="124">
      <c r="A124" s="51" t="n">
        <v>46255</v>
      </c>
      <c r="B124" s="52" t="inlineStr">
        <is>
          <t>CB-11</t>
        </is>
      </c>
      <c r="C124" s="52" t="inlineStr">
        <is>
          <t>Saulo</t>
        </is>
      </c>
      <c r="D124" s="53" t="n">
        <v>1261.7</v>
      </c>
      <c r="E124" s="53" t="n">
        <v>1271.7</v>
      </c>
      <c r="F124" s="53" t="n">
        <v>10</v>
      </c>
      <c r="G124" s="53" t="n">
        <v>68</v>
      </c>
      <c r="H124" s="52" t="inlineStr">
        <is>
          <t>S-10</t>
        </is>
      </c>
      <c r="I124" s="52" t="n">
        <v>0</v>
      </c>
      <c r="J124" s="53" t="n">
        <v>148</v>
      </c>
      <c r="K124" s="53" t="n">
        <v>2.18</v>
      </c>
      <c r="L124" s="52" t="inlineStr">
        <is>
          <t>km/L</t>
        </is>
      </c>
      <c r="M124" s="52" t="n">
        <v>140</v>
      </c>
      <c r="N124" s="53" t="n">
        <v>0.49</v>
      </c>
      <c r="O124" s="52" t="inlineStr">
        <is>
          <t>Continua em operação</t>
        </is>
      </c>
      <c r="P124" s="52" t="inlineStr">
        <is>
          <t>EX-A0121</t>
        </is>
      </c>
    </row>
    <row r="125">
      <c r="A125" s="51" t="n">
        <v>46255</v>
      </c>
      <c r="B125" s="52" t="inlineStr">
        <is>
          <t>CB-17</t>
        </is>
      </c>
      <c r="C125" s="52" t="inlineStr">
        <is>
          <t>José</t>
        </is>
      </c>
      <c r="D125" s="53" t="n">
        <v>1395.1</v>
      </c>
      <c r="E125" s="53" t="n">
        <v>1403.9</v>
      </c>
      <c r="F125" s="53" t="n">
        <v>8.800000000000001</v>
      </c>
      <c r="G125" s="53" t="n">
        <v>69</v>
      </c>
      <c r="H125" s="52" t="inlineStr">
        <is>
          <t>S-10</t>
        </is>
      </c>
      <c r="I125" s="52" t="n">
        <v>0</v>
      </c>
      <c r="J125" s="53" t="n">
        <v>143</v>
      </c>
      <c r="K125" s="53" t="n">
        <v>2.07</v>
      </c>
      <c r="L125" s="52" t="inlineStr">
        <is>
          <t>km/L</t>
        </is>
      </c>
      <c r="M125" s="52" t="n">
        <v>140</v>
      </c>
      <c r="N125" s="53" t="n">
        <v>0.49</v>
      </c>
      <c r="O125" s="52" t="inlineStr">
        <is>
          <t>Continua em operação</t>
        </is>
      </c>
      <c r="P125" s="52" t="inlineStr">
        <is>
          <t>EX-A0122</t>
        </is>
      </c>
    </row>
    <row r="126">
      <c r="A126" s="51" t="n">
        <v>46255</v>
      </c>
      <c r="B126" s="52" t="inlineStr">
        <is>
          <t>CB-22</t>
        </is>
      </c>
      <c r="C126" s="52" t="inlineStr">
        <is>
          <t>Carlos</t>
        </is>
      </c>
      <c r="D126" s="53" t="n">
        <v>1528.5</v>
      </c>
      <c r="E126" s="53" t="n">
        <v>1537.5</v>
      </c>
      <c r="F126" s="53" t="n">
        <v>9</v>
      </c>
      <c r="G126" s="53" t="n">
        <v>223</v>
      </c>
      <c r="H126" s="52" t="inlineStr">
        <is>
          <t>S-10</t>
        </is>
      </c>
      <c r="I126" s="53" t="n">
        <v>7</v>
      </c>
      <c r="J126" s="53" t="n">
        <v>328</v>
      </c>
      <c r="K126" s="53" t="n">
        <v>1.47</v>
      </c>
      <c r="L126" s="52" t="inlineStr">
        <is>
          <t>km/L</t>
        </is>
      </c>
      <c r="M126" s="52" t="n">
        <v>288</v>
      </c>
      <c r="N126" s="53" t="n">
        <v>0.77</v>
      </c>
      <c r="O126" s="52" t="inlineStr">
        <is>
          <t>Continua em operação</t>
        </is>
      </c>
      <c r="P126" s="52" t="inlineStr">
        <is>
          <t>EX-A0123</t>
        </is>
      </c>
    </row>
    <row r="127">
      <c r="A127" s="51" t="n">
        <v>46255</v>
      </c>
      <c r="B127" s="52" t="inlineStr">
        <is>
          <t>PC-01</t>
        </is>
      </c>
      <c r="C127" s="52" t="inlineStr">
        <is>
          <t>Antônio</t>
        </is>
      </c>
      <c r="D127" s="53" t="n">
        <v>1658.4</v>
      </c>
      <c r="E127" s="53" t="n">
        <v>1667.3</v>
      </c>
      <c r="F127" s="53" t="n">
        <v>8.9</v>
      </c>
      <c r="G127" s="53" t="n">
        <v>161</v>
      </c>
      <c r="H127" s="52" t="inlineStr">
        <is>
          <t>S-10</t>
        </is>
      </c>
      <c r="I127" s="52" t="n">
        <v>0</v>
      </c>
      <c r="J127" s="52" t="n">
        <v>0</v>
      </c>
      <c r="K127" s="53" t="n">
        <v>18.09</v>
      </c>
      <c r="L127" s="52" t="inlineStr">
        <is>
          <t>L/h</t>
        </is>
      </c>
      <c r="M127" s="52" t="inlineStr"/>
      <c r="N127" s="52" t="inlineStr"/>
      <c r="O127" s="52" t="inlineStr">
        <is>
          <t>Continua em operação</t>
        </is>
      </c>
      <c r="P127" s="52" t="inlineStr">
        <is>
          <t>EX-A0124</t>
        </is>
      </c>
    </row>
    <row r="128">
      <c r="A128" s="51" t="n">
        <v>46255</v>
      </c>
      <c r="B128" s="52" t="inlineStr">
        <is>
          <t>RD-01</t>
        </is>
      </c>
      <c r="C128" s="52" t="inlineStr">
        <is>
          <t>Saulo</t>
        </is>
      </c>
      <c r="D128" s="53" t="n">
        <v>1913.5</v>
      </c>
      <c r="E128" s="53" t="n">
        <v>1922.3</v>
      </c>
      <c r="F128" s="53" t="n">
        <v>8.800000000000001</v>
      </c>
      <c r="G128" s="53" t="n">
        <v>102</v>
      </c>
      <c r="H128" s="52" t="inlineStr">
        <is>
          <t>S-10</t>
        </is>
      </c>
      <c r="I128" s="52" t="n">
        <v>0</v>
      </c>
      <c r="J128" s="52" t="n">
        <v>0</v>
      </c>
      <c r="K128" s="53" t="n">
        <v>11.59</v>
      </c>
      <c r="L128" s="52" t="inlineStr">
        <is>
          <t>L/h</t>
        </is>
      </c>
      <c r="M128" s="52" t="inlineStr"/>
      <c r="N128" s="52" t="inlineStr"/>
      <c r="O128" s="52" t="inlineStr">
        <is>
          <t>Continua em operação</t>
        </is>
      </c>
      <c r="P128" s="52" t="inlineStr">
        <is>
          <t>EX-A0125</t>
        </is>
      </c>
    </row>
    <row r="129">
      <c r="A129" s="51" t="n">
        <v>46255</v>
      </c>
      <c r="B129" s="52" t="inlineStr">
        <is>
          <t>MG-01</t>
        </is>
      </c>
      <c r="C129" s="52" t="inlineStr">
        <is>
          <t>José</t>
        </is>
      </c>
      <c r="D129" s="53" t="n">
        <v>2040</v>
      </c>
      <c r="E129" s="53" t="n">
        <v>2050.4</v>
      </c>
      <c r="F129" s="53" t="n">
        <v>10.4</v>
      </c>
      <c r="G129" s="53" t="n">
        <v>133</v>
      </c>
      <c r="H129" s="52" t="inlineStr">
        <is>
          <t>S-10</t>
        </is>
      </c>
      <c r="I129" s="52" t="n">
        <v>0</v>
      </c>
      <c r="J129" s="52" t="n">
        <v>0</v>
      </c>
      <c r="K129" s="53" t="n">
        <v>12.79</v>
      </c>
      <c r="L129" s="52" t="inlineStr">
        <is>
          <t>L/h</t>
        </is>
      </c>
      <c r="M129" s="52" t="inlineStr"/>
      <c r="N129" s="52" t="inlineStr"/>
      <c r="O129" s="52" t="inlineStr">
        <is>
          <t>Continua em operação</t>
        </is>
      </c>
      <c r="P129" s="52" t="inlineStr">
        <is>
          <t>EX-A0126</t>
        </is>
      </c>
    </row>
    <row r="130">
      <c r="A130" s="51" t="n">
        <v>46256</v>
      </c>
      <c r="B130" s="52" t="inlineStr">
        <is>
          <t>CB-01</t>
        </is>
      </c>
      <c r="C130" s="52" t="inlineStr">
        <is>
          <t>Saulo</t>
        </is>
      </c>
      <c r="D130" s="53" t="n">
        <v>1137.6</v>
      </c>
      <c r="E130" s="53" t="n">
        <v>1146.7</v>
      </c>
      <c r="F130" s="53" t="n">
        <v>9.1</v>
      </c>
      <c r="G130" s="53" t="n">
        <v>114</v>
      </c>
      <c r="H130" s="52" t="inlineStr">
        <is>
          <t>S-500</t>
        </is>
      </c>
      <c r="I130" s="53" t="n">
        <v>3</v>
      </c>
      <c r="J130" s="53" t="n">
        <v>235</v>
      </c>
      <c r="K130" s="53" t="n">
        <v>2.06</v>
      </c>
      <c r="L130" s="52" t="inlineStr">
        <is>
          <t>km/L</t>
        </is>
      </c>
      <c r="M130" s="52" t="n">
        <v>224</v>
      </c>
      <c r="N130" s="53" t="n">
        <v>0.51</v>
      </c>
      <c r="O130" s="52" t="inlineStr">
        <is>
          <t>Continua em operação</t>
        </is>
      </c>
      <c r="P130" s="52" t="inlineStr">
        <is>
          <t>EX-A0127</t>
        </is>
      </c>
    </row>
    <row r="131">
      <c r="A131" s="51" t="n">
        <v>46256</v>
      </c>
      <c r="B131" s="52" t="inlineStr">
        <is>
          <t>CB-11</t>
        </is>
      </c>
      <c r="C131" s="52" t="inlineStr">
        <is>
          <t>José</t>
        </is>
      </c>
      <c r="D131" s="53" t="n">
        <v>1271.7</v>
      </c>
      <c r="E131" s="53" t="n">
        <v>1280.3</v>
      </c>
      <c r="F131" s="53" t="n">
        <v>8.6</v>
      </c>
      <c r="G131" s="53" t="n">
        <v>71</v>
      </c>
      <c r="H131" s="52" t="inlineStr">
        <is>
          <t>S-10</t>
        </is>
      </c>
      <c r="I131" s="52" t="n">
        <v>0</v>
      </c>
      <c r="J131" s="53" t="n">
        <v>149</v>
      </c>
      <c r="K131" s="53" t="n">
        <v>2.1</v>
      </c>
      <c r="L131" s="52" t="inlineStr">
        <is>
          <t>km/L</t>
        </is>
      </c>
      <c r="M131" s="52" t="n">
        <v>150</v>
      </c>
      <c r="N131" s="53" t="n">
        <v>0.47</v>
      </c>
      <c r="O131" s="52" t="inlineStr">
        <is>
          <t>Continua em operação</t>
        </is>
      </c>
      <c r="P131" s="52" t="inlineStr">
        <is>
          <t>EX-A0128</t>
        </is>
      </c>
    </row>
    <row r="132">
      <c r="A132" s="51" t="n">
        <v>46256</v>
      </c>
      <c r="B132" s="52" t="inlineStr">
        <is>
          <t>CB-17</t>
        </is>
      </c>
      <c r="C132" s="52" t="inlineStr">
        <is>
          <t>Carlos</t>
        </is>
      </c>
      <c r="D132" s="53" t="n">
        <v>1403.9</v>
      </c>
      <c r="E132" s="53" t="n">
        <v>1412.9</v>
      </c>
      <c r="F132" s="53" t="n">
        <v>9</v>
      </c>
      <c r="G132" s="53" t="n">
        <v>108</v>
      </c>
      <c r="H132" s="52" t="inlineStr">
        <is>
          <t>S-10</t>
        </is>
      </c>
      <c r="I132" s="52" t="n">
        <v>0</v>
      </c>
      <c r="J132" s="53" t="n">
        <v>216</v>
      </c>
      <c r="K132" s="53" t="n">
        <v>2</v>
      </c>
      <c r="L132" s="52" t="inlineStr">
        <is>
          <t>km/L</t>
        </is>
      </c>
      <c r="M132" s="52" t="n">
        <v>224</v>
      </c>
      <c r="N132" s="53" t="n">
        <v>0.48</v>
      </c>
      <c r="O132" s="52" t="inlineStr">
        <is>
          <t>Continua em operação</t>
        </is>
      </c>
      <c r="P132" s="52" t="inlineStr">
        <is>
          <t>EX-A0129</t>
        </is>
      </c>
    </row>
    <row r="133">
      <c r="A133" s="51" t="n">
        <v>46256</v>
      </c>
      <c r="B133" s="52" t="inlineStr">
        <is>
          <t>CB-22</t>
        </is>
      </c>
      <c r="C133" s="52" t="inlineStr">
        <is>
          <t>Antônio</t>
        </is>
      </c>
      <c r="D133" s="53" t="n">
        <v>1537.5</v>
      </c>
      <c r="E133" s="53" t="n">
        <v>1545.8</v>
      </c>
      <c r="F133" s="53" t="n">
        <v>8.300000000000001</v>
      </c>
      <c r="G133" s="53" t="n">
        <v>133</v>
      </c>
      <c r="H133" s="52" t="inlineStr">
        <is>
          <t>S-10</t>
        </is>
      </c>
      <c r="I133" s="53" t="n">
        <v>4</v>
      </c>
      <c r="J133" s="53" t="n">
        <v>190</v>
      </c>
      <c r="K133" s="53" t="n">
        <v>1.43</v>
      </c>
      <c r="L133" s="52" t="inlineStr">
        <is>
          <t>km/L</t>
        </is>
      </c>
      <c r="M133" s="52" t="n">
        <v>168</v>
      </c>
      <c r="N133" s="53" t="n">
        <v>0.79</v>
      </c>
      <c r="O133" s="52" t="inlineStr">
        <is>
          <t>Continua em operação</t>
        </is>
      </c>
      <c r="P133" s="52" t="inlineStr">
        <is>
          <t>EX-A0130</t>
        </is>
      </c>
    </row>
    <row r="134">
      <c r="A134" s="51" t="n">
        <v>46256</v>
      </c>
      <c r="B134" s="52" t="inlineStr">
        <is>
          <t>PC-01</t>
        </is>
      </c>
      <c r="C134" s="52" t="inlineStr">
        <is>
          <t>Marcos</t>
        </is>
      </c>
      <c r="D134" s="53" t="n">
        <v>1667.3</v>
      </c>
      <c r="E134" s="53" t="n">
        <v>1674.9</v>
      </c>
      <c r="F134" s="53" t="n">
        <v>7.6</v>
      </c>
      <c r="G134" s="53" t="n">
        <v>140</v>
      </c>
      <c r="H134" s="52" t="inlineStr">
        <is>
          <t>S-10</t>
        </is>
      </c>
      <c r="I134" s="52" t="n">
        <v>0</v>
      </c>
      <c r="J134" s="52" t="n">
        <v>0</v>
      </c>
      <c r="K134" s="53" t="n">
        <v>18.42</v>
      </c>
      <c r="L134" s="52" t="inlineStr">
        <is>
          <t>L/h</t>
        </is>
      </c>
      <c r="M134" s="52" t="inlineStr"/>
      <c r="N134" s="52" t="inlineStr"/>
      <c r="O134" s="52" t="inlineStr">
        <is>
          <t>Continua em operação</t>
        </is>
      </c>
      <c r="P134" s="52" t="inlineStr">
        <is>
          <t>EX-A0131</t>
        </is>
      </c>
    </row>
    <row r="135">
      <c r="A135" s="51" t="n">
        <v>46256</v>
      </c>
      <c r="B135" s="52" t="inlineStr">
        <is>
          <t>PC-02</t>
        </is>
      </c>
      <c r="C135" s="52" t="inlineStr">
        <is>
          <t>Saulo</t>
        </is>
      </c>
      <c r="D135" s="53" t="n">
        <v>1782.1</v>
      </c>
      <c r="E135" s="53" t="n">
        <v>1790.3</v>
      </c>
      <c r="F135" s="53" t="n">
        <v>8.199999999999999</v>
      </c>
      <c r="G135" s="53" t="n">
        <v>158</v>
      </c>
      <c r="H135" s="52" t="inlineStr">
        <is>
          <t>S-10</t>
        </is>
      </c>
      <c r="I135" s="52" t="n">
        <v>0</v>
      </c>
      <c r="J135" s="52" t="n">
        <v>0</v>
      </c>
      <c r="K135" s="53" t="n">
        <v>19.27</v>
      </c>
      <c r="L135" s="52" t="inlineStr">
        <is>
          <t>L/h</t>
        </is>
      </c>
      <c r="M135" s="52" t="inlineStr"/>
      <c r="N135" s="52" t="inlineStr"/>
      <c r="O135" s="52" t="inlineStr">
        <is>
          <t>Continua em operação</t>
        </is>
      </c>
      <c r="P135" s="52" t="inlineStr">
        <is>
          <t>EX-A0132</t>
        </is>
      </c>
    </row>
    <row r="136">
      <c r="A136" s="51" t="n">
        <v>46256</v>
      </c>
      <c r="B136" s="52" t="inlineStr">
        <is>
          <t>RD-01</t>
        </is>
      </c>
      <c r="C136" s="52" t="inlineStr">
        <is>
          <t>José</t>
        </is>
      </c>
      <c r="D136" s="53" t="n">
        <v>1922.3</v>
      </c>
      <c r="E136" s="53" t="n">
        <v>1931.4</v>
      </c>
      <c r="F136" s="53" t="n">
        <v>9.1</v>
      </c>
      <c r="G136" s="53" t="n">
        <v>113</v>
      </c>
      <c r="H136" s="52" t="inlineStr">
        <is>
          <t>S-10</t>
        </is>
      </c>
      <c r="I136" s="52" t="n">
        <v>0</v>
      </c>
      <c r="J136" s="52" t="n">
        <v>0</v>
      </c>
      <c r="K136" s="53" t="n">
        <v>12.42</v>
      </c>
      <c r="L136" s="52" t="inlineStr">
        <is>
          <t>L/h</t>
        </is>
      </c>
      <c r="M136" s="52" t="inlineStr"/>
      <c r="N136" s="52" t="inlineStr"/>
      <c r="O136" s="52" t="inlineStr">
        <is>
          <t>Continua em operação</t>
        </is>
      </c>
      <c r="P136" s="52" t="inlineStr">
        <is>
          <t>EX-A0133</t>
        </is>
      </c>
    </row>
    <row r="137">
      <c r="A137" s="51" t="n">
        <v>46256</v>
      </c>
      <c r="B137" s="52" t="inlineStr">
        <is>
          <t>MG-01</t>
        </is>
      </c>
      <c r="C137" s="52" t="inlineStr">
        <is>
          <t>Carlos</t>
        </is>
      </c>
      <c r="D137" s="53" t="n">
        <v>2050.4</v>
      </c>
      <c r="E137" s="53" t="n">
        <v>2059.9</v>
      </c>
      <c r="F137" s="53" t="n">
        <v>9.5</v>
      </c>
      <c r="G137" s="53" t="n">
        <v>117</v>
      </c>
      <c r="H137" s="52" t="inlineStr">
        <is>
          <t>S-10</t>
        </is>
      </c>
      <c r="I137" s="52" t="n">
        <v>0</v>
      </c>
      <c r="J137" s="52" t="n">
        <v>0</v>
      </c>
      <c r="K137" s="53" t="n">
        <v>12.32</v>
      </c>
      <c r="L137" s="52" t="inlineStr">
        <is>
          <t>L/h</t>
        </is>
      </c>
      <c r="M137" s="52" t="inlineStr"/>
      <c r="N137" s="52" t="inlineStr"/>
      <c r="O137" s="52" t="inlineStr">
        <is>
          <t>Continua em operação</t>
        </is>
      </c>
      <c r="P137" s="52" t="inlineStr">
        <is>
          <t>EX-A0134</t>
        </is>
      </c>
    </row>
    <row r="138">
      <c r="A138" s="51" t="n">
        <v>46258</v>
      </c>
      <c r="B138" s="52" t="inlineStr">
        <is>
          <t>CB-01</t>
        </is>
      </c>
      <c r="C138" s="52" t="inlineStr">
        <is>
          <t>Carlos</t>
        </is>
      </c>
      <c r="D138" s="53" t="n">
        <v>1146.7</v>
      </c>
      <c r="E138" s="53" t="n">
        <v>1156.8</v>
      </c>
      <c r="F138" s="53" t="n">
        <v>10.1</v>
      </c>
      <c r="G138" s="53" t="n">
        <v>163</v>
      </c>
      <c r="H138" s="52" t="inlineStr">
        <is>
          <t>S-500</t>
        </is>
      </c>
      <c r="I138" s="53" t="n">
        <v>5</v>
      </c>
      <c r="J138" s="53" t="n">
        <v>342</v>
      </c>
      <c r="K138" s="53" t="n">
        <v>2.1</v>
      </c>
      <c r="L138" s="52" t="inlineStr">
        <is>
          <t>km/L</t>
        </is>
      </c>
      <c r="M138" s="52" t="n">
        <v>330</v>
      </c>
      <c r="N138" s="53" t="n">
        <v>0.49</v>
      </c>
      <c r="O138" s="52" t="inlineStr">
        <is>
          <t>Continua em operação</t>
        </is>
      </c>
      <c r="P138" s="52" t="inlineStr">
        <is>
          <t>EX-A0135</t>
        </is>
      </c>
    </row>
    <row r="139">
      <c r="A139" s="51" t="n">
        <v>46258</v>
      </c>
      <c r="B139" s="52" t="inlineStr">
        <is>
          <t>CB-11</t>
        </is>
      </c>
      <c r="C139" s="52" t="inlineStr">
        <is>
          <t>Antônio</t>
        </is>
      </c>
      <c r="D139" s="53" t="n">
        <v>1280.3</v>
      </c>
      <c r="E139" s="53" t="n">
        <v>1288.7</v>
      </c>
      <c r="F139" s="53" t="n">
        <v>8.4</v>
      </c>
      <c r="G139" s="53" t="n">
        <v>98</v>
      </c>
      <c r="H139" s="52" t="inlineStr">
        <is>
          <t>S-10</t>
        </is>
      </c>
      <c r="I139" s="52" t="n">
        <v>0</v>
      </c>
      <c r="J139" s="53" t="n">
        <v>210</v>
      </c>
      <c r="K139" s="53" t="n">
        <v>2.14</v>
      </c>
      <c r="L139" s="52" t="inlineStr">
        <is>
          <t>km/L</t>
        </is>
      </c>
      <c r="M139" s="52" t="n">
        <v>196</v>
      </c>
      <c r="N139" s="53" t="n">
        <v>0.5</v>
      </c>
      <c r="O139" s="52" t="inlineStr">
        <is>
          <t>Continua em operação</t>
        </is>
      </c>
      <c r="P139" s="52" t="inlineStr">
        <is>
          <t>EX-A0136</t>
        </is>
      </c>
    </row>
    <row r="140">
      <c r="A140" s="51" t="n">
        <v>46258</v>
      </c>
      <c r="B140" s="52" t="inlineStr">
        <is>
          <t>CB-17</t>
        </is>
      </c>
      <c r="C140" s="52" t="inlineStr">
        <is>
          <t>Marcos</t>
        </is>
      </c>
      <c r="D140" s="53" t="n">
        <v>1412.9</v>
      </c>
      <c r="E140" s="53" t="n">
        <v>1421.9</v>
      </c>
      <c r="F140" s="53" t="n">
        <v>9</v>
      </c>
      <c r="G140" s="53" t="n">
        <v>173</v>
      </c>
      <c r="H140" s="52" t="inlineStr">
        <is>
          <t>S-10</t>
        </is>
      </c>
      <c r="I140" s="52" t="n">
        <v>0</v>
      </c>
      <c r="J140" s="53" t="n">
        <v>364</v>
      </c>
      <c r="K140" s="53" t="n">
        <v>2.1</v>
      </c>
      <c r="L140" s="52" t="inlineStr">
        <is>
          <t>km/L</t>
        </is>
      </c>
      <c r="M140" s="52" t="n">
        <v>352</v>
      </c>
      <c r="N140" s="53" t="n">
        <v>0.49</v>
      </c>
      <c r="O140" s="52" t="inlineStr">
        <is>
          <t>Continua em operação</t>
        </is>
      </c>
      <c r="P140" s="52" t="inlineStr">
        <is>
          <t>EX-A0137</t>
        </is>
      </c>
    </row>
    <row r="141">
      <c r="A141" s="51" t="n">
        <v>46258</v>
      </c>
      <c r="B141" s="52" t="inlineStr">
        <is>
          <t>CB-22</t>
        </is>
      </c>
      <c r="C141" s="52" t="inlineStr">
        <is>
          <t>Saulo</t>
        </is>
      </c>
      <c r="D141" s="53" t="n">
        <v>1545.8</v>
      </c>
      <c r="E141" s="53" t="n">
        <v>1556</v>
      </c>
      <c r="F141" s="53" t="n">
        <v>10.2</v>
      </c>
      <c r="G141" s="53" t="n">
        <v>129</v>
      </c>
      <c r="H141" s="52" t="inlineStr">
        <is>
          <t>S-10</t>
        </is>
      </c>
      <c r="I141" s="53" t="n">
        <v>4</v>
      </c>
      <c r="J141" s="53" t="n">
        <v>201</v>
      </c>
      <c r="K141" s="53" t="n">
        <v>1.56</v>
      </c>
      <c r="L141" s="52" t="inlineStr">
        <is>
          <t>km/L</t>
        </is>
      </c>
      <c r="M141" s="52" t="n">
        <v>160</v>
      </c>
      <c r="N141" s="53" t="n">
        <v>0.8100000000000001</v>
      </c>
      <c r="O141" s="52" t="inlineStr">
        <is>
          <t>Continua em operação</t>
        </is>
      </c>
      <c r="P141" s="52" t="inlineStr">
        <is>
          <t>EX-A0138</t>
        </is>
      </c>
    </row>
    <row r="142">
      <c r="A142" s="51" t="n">
        <v>46258</v>
      </c>
      <c r="B142" s="52" t="inlineStr">
        <is>
          <t>PC-01</t>
        </is>
      </c>
      <c r="C142" s="52" t="inlineStr">
        <is>
          <t>José</t>
        </is>
      </c>
      <c r="D142" s="53" t="n">
        <v>1674.9</v>
      </c>
      <c r="E142" s="53" t="n">
        <v>1684.4</v>
      </c>
      <c r="F142" s="53" t="n">
        <v>9.5</v>
      </c>
      <c r="G142" s="53" t="n">
        <v>185</v>
      </c>
      <c r="H142" s="52" t="inlineStr">
        <is>
          <t>S-10</t>
        </is>
      </c>
      <c r="I142" s="52" t="n">
        <v>0</v>
      </c>
      <c r="J142" s="52" t="n">
        <v>0</v>
      </c>
      <c r="K142" s="53" t="n">
        <v>19.47</v>
      </c>
      <c r="L142" s="52" t="inlineStr">
        <is>
          <t>L/h</t>
        </is>
      </c>
      <c r="M142" s="52" t="inlineStr"/>
      <c r="N142" s="52" t="inlineStr"/>
      <c r="O142" s="52" t="inlineStr">
        <is>
          <t>Continua em operação</t>
        </is>
      </c>
      <c r="P142" s="52" t="inlineStr">
        <is>
          <t>EX-A0139</t>
        </is>
      </c>
    </row>
    <row r="143">
      <c r="A143" s="51" t="n">
        <v>46258</v>
      </c>
      <c r="B143" s="52" t="inlineStr">
        <is>
          <t>PC-02</t>
        </is>
      </c>
      <c r="C143" s="52" t="inlineStr">
        <is>
          <t>Carlos</t>
        </is>
      </c>
      <c r="D143" s="53" t="n">
        <v>1790.3</v>
      </c>
      <c r="E143" s="53" t="n">
        <v>1798.5</v>
      </c>
      <c r="F143" s="53" t="n">
        <v>8.199999999999999</v>
      </c>
      <c r="G143" s="53" t="n">
        <v>146</v>
      </c>
      <c r="H143" s="52" t="inlineStr">
        <is>
          <t>S-10</t>
        </is>
      </c>
      <c r="I143" s="52" t="n">
        <v>0</v>
      </c>
      <c r="J143" s="52" t="n">
        <v>0</v>
      </c>
      <c r="K143" s="53" t="n">
        <v>17.8</v>
      </c>
      <c r="L143" s="52" t="inlineStr">
        <is>
          <t>L/h</t>
        </is>
      </c>
      <c r="M143" s="52" t="inlineStr"/>
      <c r="N143" s="52" t="inlineStr"/>
      <c r="O143" s="52" t="inlineStr">
        <is>
          <t>Continua em operação</t>
        </is>
      </c>
      <c r="P143" s="52" t="inlineStr">
        <is>
          <t>EX-A0140</t>
        </is>
      </c>
    </row>
    <row r="144">
      <c r="A144" s="51" t="n">
        <v>46258</v>
      </c>
      <c r="B144" s="52" t="inlineStr">
        <is>
          <t>RD-01</t>
        </is>
      </c>
      <c r="C144" s="52" t="inlineStr">
        <is>
          <t>Antônio</t>
        </is>
      </c>
      <c r="D144" s="53" t="n">
        <v>1931.4</v>
      </c>
      <c r="E144" s="53" t="n">
        <v>1939.3</v>
      </c>
      <c r="F144" s="53" t="n">
        <v>7.9</v>
      </c>
      <c r="G144" s="53" t="n">
        <v>93</v>
      </c>
      <c r="H144" s="52" t="inlineStr">
        <is>
          <t>S-10</t>
        </is>
      </c>
      <c r="I144" s="52" t="n">
        <v>0</v>
      </c>
      <c r="J144" s="52" t="n">
        <v>0</v>
      </c>
      <c r="K144" s="53" t="n">
        <v>11.77</v>
      </c>
      <c r="L144" s="52" t="inlineStr">
        <is>
          <t>L/h</t>
        </is>
      </c>
      <c r="M144" s="52" t="inlineStr"/>
      <c r="N144" s="52" t="inlineStr"/>
      <c r="O144" s="52" t="inlineStr">
        <is>
          <t>Continua em operação</t>
        </is>
      </c>
      <c r="P144" s="52" t="inlineStr">
        <is>
          <t>EX-A0141</t>
        </is>
      </c>
    </row>
    <row r="145">
      <c r="A145" s="51" t="n">
        <v>46258</v>
      </c>
      <c r="B145" s="52" t="inlineStr">
        <is>
          <t>MG-01</t>
        </is>
      </c>
      <c r="C145" s="52" t="inlineStr">
        <is>
          <t>Marcos</t>
        </is>
      </c>
      <c r="D145" s="53" t="n">
        <v>2059.9</v>
      </c>
      <c r="E145" s="53" t="n">
        <v>2067.7</v>
      </c>
      <c r="F145" s="53" t="n">
        <v>7.8</v>
      </c>
      <c r="G145" s="53" t="n">
        <v>98</v>
      </c>
      <c r="H145" s="52" t="inlineStr">
        <is>
          <t>S-10</t>
        </is>
      </c>
      <c r="I145" s="52" t="n">
        <v>0</v>
      </c>
      <c r="J145" s="52" t="n">
        <v>0</v>
      </c>
      <c r="K145" s="53" t="n">
        <v>12.56</v>
      </c>
      <c r="L145" s="52" t="inlineStr">
        <is>
          <t>L/h</t>
        </is>
      </c>
      <c r="M145" s="52" t="inlineStr"/>
      <c r="N145" s="52" t="inlineStr"/>
      <c r="O145" s="52" t="inlineStr">
        <is>
          <t>Continua em operação</t>
        </is>
      </c>
      <c r="P145" s="52" t="inlineStr">
        <is>
          <t>EX-A0142</t>
        </is>
      </c>
    </row>
    <row r="146">
      <c r="A146" s="51" t="n">
        <v>46259</v>
      </c>
      <c r="B146" s="52" t="inlineStr">
        <is>
          <t>CB-01</t>
        </is>
      </c>
      <c r="C146" s="52" t="inlineStr">
        <is>
          <t>Antônio</t>
        </is>
      </c>
      <c r="D146" s="53" t="n">
        <v>1156.8</v>
      </c>
      <c r="E146" s="53" t="n">
        <v>1166</v>
      </c>
      <c r="F146" s="53" t="n">
        <v>9.199999999999999</v>
      </c>
      <c r="G146" s="53" t="n">
        <v>77</v>
      </c>
      <c r="H146" s="52" t="inlineStr">
        <is>
          <t>S-500</t>
        </is>
      </c>
      <c r="I146" s="53" t="n">
        <v>2</v>
      </c>
      <c r="J146" s="53" t="n">
        <v>158</v>
      </c>
      <c r="K146" s="53" t="n">
        <v>2.05</v>
      </c>
      <c r="L146" s="52" t="inlineStr">
        <is>
          <t>km/L</t>
        </is>
      </c>
      <c r="M146" s="52" t="n">
        <v>160</v>
      </c>
      <c r="N146" s="53" t="n">
        <v>0.48</v>
      </c>
      <c r="O146" s="52" t="inlineStr">
        <is>
          <t>Continua em operação</t>
        </is>
      </c>
      <c r="P146" s="52" t="inlineStr">
        <is>
          <t>EX-A0143</t>
        </is>
      </c>
    </row>
    <row r="147">
      <c r="A147" s="51" t="n">
        <v>46259</v>
      </c>
      <c r="B147" s="52" t="inlineStr">
        <is>
          <t>CB-11</t>
        </is>
      </c>
      <c r="C147" s="52" t="inlineStr">
        <is>
          <t>Marcos</t>
        </is>
      </c>
      <c r="D147" s="53" t="n">
        <v>1288.7</v>
      </c>
      <c r="E147" s="53" t="n">
        <v>1297</v>
      </c>
      <c r="F147" s="53" t="n">
        <v>8.300000000000001</v>
      </c>
      <c r="G147" s="53" t="n">
        <v>166</v>
      </c>
      <c r="H147" s="52" t="inlineStr">
        <is>
          <t>S-10</t>
        </is>
      </c>
      <c r="I147" s="52" t="n">
        <v>0</v>
      </c>
      <c r="J147" s="53" t="n">
        <v>349</v>
      </c>
      <c r="K147" s="53" t="n">
        <v>2.1</v>
      </c>
      <c r="L147" s="52" t="inlineStr">
        <is>
          <t>km/L</t>
        </is>
      </c>
      <c r="M147" s="52" t="n">
        <v>336</v>
      </c>
      <c r="N147" s="53" t="n">
        <v>0.49</v>
      </c>
      <c r="O147" s="52" t="inlineStr">
        <is>
          <t>Continua em operação</t>
        </is>
      </c>
      <c r="P147" s="52" t="inlineStr">
        <is>
          <t>EX-A0144</t>
        </is>
      </c>
    </row>
    <row r="148">
      <c r="A148" s="51" t="n">
        <v>46259</v>
      </c>
      <c r="B148" s="52" t="inlineStr">
        <is>
          <t>CB-17</t>
        </is>
      </c>
      <c r="C148" s="52" t="inlineStr">
        <is>
          <t>Saulo</t>
        </is>
      </c>
      <c r="D148" s="53" t="n">
        <v>1421.9</v>
      </c>
      <c r="E148" s="53" t="n">
        <v>1431</v>
      </c>
      <c r="F148" s="53" t="n">
        <v>9.1</v>
      </c>
      <c r="G148" s="53" t="n">
        <v>95</v>
      </c>
      <c r="H148" s="52" t="inlineStr">
        <is>
          <t>S-10</t>
        </is>
      </c>
      <c r="I148" s="52" t="n">
        <v>0</v>
      </c>
      <c r="J148" s="53" t="n">
        <v>195</v>
      </c>
      <c r="K148" s="53" t="n">
        <v>2.05</v>
      </c>
      <c r="L148" s="52" t="inlineStr">
        <is>
          <t>km/L</t>
        </is>
      </c>
      <c r="M148" s="52" t="n">
        <v>192</v>
      </c>
      <c r="N148" s="53" t="n">
        <v>0.49</v>
      </c>
      <c r="O148" s="52" t="inlineStr">
        <is>
          <t>Continua em operação</t>
        </is>
      </c>
      <c r="P148" s="52" t="inlineStr">
        <is>
          <t>EX-A0145</t>
        </is>
      </c>
    </row>
    <row r="149">
      <c r="A149" s="51" t="n">
        <v>46259</v>
      </c>
      <c r="B149" s="52" t="inlineStr">
        <is>
          <t>CB-22</t>
        </is>
      </c>
      <c r="C149" s="52" t="inlineStr">
        <is>
          <t>José</t>
        </is>
      </c>
      <c r="D149" s="53" t="n">
        <v>1556</v>
      </c>
      <c r="E149" s="53" t="n">
        <v>1563.7</v>
      </c>
      <c r="F149" s="53" t="n">
        <v>7.7</v>
      </c>
      <c r="G149" s="53" t="n">
        <v>207</v>
      </c>
      <c r="H149" s="52" t="inlineStr">
        <is>
          <t>S-10</t>
        </is>
      </c>
      <c r="I149" s="53" t="n">
        <v>6</v>
      </c>
      <c r="J149" s="53" t="n">
        <v>301</v>
      </c>
      <c r="K149" s="53" t="n">
        <v>1.45</v>
      </c>
      <c r="L149" s="52" t="inlineStr">
        <is>
          <t>km/L</t>
        </is>
      </c>
      <c r="M149" s="52" t="n">
        <v>252</v>
      </c>
      <c r="N149" s="53" t="n">
        <v>0.82</v>
      </c>
      <c r="O149" s="52" t="inlineStr">
        <is>
          <t>Continua em operação</t>
        </is>
      </c>
      <c r="P149" s="52" t="inlineStr">
        <is>
          <t>EX-A0146</t>
        </is>
      </c>
    </row>
    <row r="150">
      <c r="A150" s="51" t="n">
        <v>46259</v>
      </c>
      <c r="B150" s="52" t="inlineStr">
        <is>
          <t>PC-01</t>
        </is>
      </c>
      <c r="C150" s="52" t="inlineStr">
        <is>
          <t>Carlos</t>
        </is>
      </c>
      <c r="D150" s="53" t="n">
        <v>1684.4</v>
      </c>
      <c r="E150" s="53" t="n">
        <v>1694.1</v>
      </c>
      <c r="F150" s="53" t="n">
        <v>9.699999999999999</v>
      </c>
      <c r="G150" s="53" t="n">
        <v>197</v>
      </c>
      <c r="H150" s="52" t="inlineStr">
        <is>
          <t>S-10</t>
        </is>
      </c>
      <c r="I150" s="52" t="n">
        <v>0</v>
      </c>
      <c r="J150" s="52" t="n">
        <v>0</v>
      </c>
      <c r="K150" s="53" t="n">
        <v>20.31</v>
      </c>
      <c r="L150" s="52" t="inlineStr">
        <is>
          <t>L/h</t>
        </is>
      </c>
      <c r="M150" s="52" t="inlineStr"/>
      <c r="N150" s="52" t="inlineStr"/>
      <c r="O150" s="52" t="inlineStr">
        <is>
          <t>Continua em operação</t>
        </is>
      </c>
      <c r="P150" s="52" t="inlineStr">
        <is>
          <t>EX-A0147</t>
        </is>
      </c>
    </row>
    <row r="151">
      <c r="A151" s="51" t="n">
        <v>46259</v>
      </c>
      <c r="B151" s="52" t="inlineStr">
        <is>
          <t>PC-02</t>
        </is>
      </c>
      <c r="C151" s="52" t="inlineStr">
        <is>
          <t>Antônio</t>
        </is>
      </c>
      <c r="D151" s="53" t="n">
        <v>1798.5</v>
      </c>
      <c r="E151" s="53" t="n">
        <v>1807.5</v>
      </c>
      <c r="F151" s="53" t="n">
        <v>9</v>
      </c>
      <c r="G151" s="53" t="n">
        <v>168</v>
      </c>
      <c r="H151" s="52" t="inlineStr">
        <is>
          <t>S-10</t>
        </is>
      </c>
      <c r="I151" s="52" t="n">
        <v>0</v>
      </c>
      <c r="J151" s="52" t="n">
        <v>0</v>
      </c>
      <c r="K151" s="53" t="n">
        <v>18.67</v>
      </c>
      <c r="L151" s="52" t="inlineStr">
        <is>
          <t>L/h</t>
        </is>
      </c>
      <c r="M151" s="52" t="inlineStr"/>
      <c r="N151" s="52" t="inlineStr"/>
      <c r="O151" s="52" t="inlineStr">
        <is>
          <t>Continua em operação</t>
        </is>
      </c>
      <c r="P151" s="52" t="inlineStr">
        <is>
          <t>EX-A0148</t>
        </is>
      </c>
    </row>
    <row r="152">
      <c r="A152" s="51" t="n">
        <v>46259</v>
      </c>
      <c r="B152" s="52" t="inlineStr">
        <is>
          <t>RD-01</t>
        </is>
      </c>
      <c r="C152" s="52" t="inlineStr">
        <is>
          <t>Marcos</t>
        </is>
      </c>
      <c r="D152" s="53" t="n">
        <v>1939.3</v>
      </c>
      <c r="E152" s="53" t="n">
        <v>1948.2</v>
      </c>
      <c r="F152" s="53" t="n">
        <v>8.9</v>
      </c>
      <c r="G152" s="53" t="n">
        <v>110</v>
      </c>
      <c r="H152" s="52" t="inlineStr">
        <is>
          <t>S-10</t>
        </is>
      </c>
      <c r="I152" s="52" t="n">
        <v>0</v>
      </c>
      <c r="J152" s="52" t="n">
        <v>0</v>
      </c>
      <c r="K152" s="53" t="n">
        <v>12.36</v>
      </c>
      <c r="L152" s="52" t="inlineStr">
        <is>
          <t>L/h</t>
        </is>
      </c>
      <c r="M152" s="52" t="inlineStr"/>
      <c r="N152" s="52" t="inlineStr"/>
      <c r="O152" s="52" t="inlineStr">
        <is>
          <t>Continua em operação</t>
        </is>
      </c>
      <c r="P152" s="52" t="inlineStr">
        <is>
          <t>EX-A0149</t>
        </is>
      </c>
    </row>
    <row r="153">
      <c r="A153" s="51" t="n">
        <v>46259</v>
      </c>
      <c r="B153" s="52" t="inlineStr">
        <is>
          <t>MG-01</t>
        </is>
      </c>
      <c r="C153" s="52" t="inlineStr">
        <is>
          <t>Saulo</t>
        </is>
      </c>
      <c r="D153" s="53" t="n">
        <v>2067.7</v>
      </c>
      <c r="E153" s="53" t="n">
        <v>2077.5</v>
      </c>
      <c r="F153" s="53" t="n">
        <v>9.800000000000001</v>
      </c>
      <c r="G153" s="53" t="n">
        <v>120</v>
      </c>
      <c r="H153" s="52" t="inlineStr">
        <is>
          <t>S-10</t>
        </is>
      </c>
      <c r="I153" s="52" t="n">
        <v>0</v>
      </c>
      <c r="J153" s="52" t="n">
        <v>0</v>
      </c>
      <c r="K153" s="53" t="n">
        <v>12.24</v>
      </c>
      <c r="L153" s="52" t="inlineStr">
        <is>
          <t>L/h</t>
        </is>
      </c>
      <c r="M153" s="52" t="inlineStr"/>
      <c r="N153" s="52" t="inlineStr"/>
      <c r="O153" s="52" t="inlineStr">
        <is>
          <t>Continua em operação</t>
        </is>
      </c>
      <c r="P153" s="52" t="inlineStr">
        <is>
          <t>EX-A0150</t>
        </is>
      </c>
    </row>
    <row r="154">
      <c r="A154" s="51" t="n">
        <v>46260</v>
      </c>
      <c r="B154" s="52" t="inlineStr">
        <is>
          <t>CB-01</t>
        </is>
      </c>
      <c r="C154" s="52" t="inlineStr">
        <is>
          <t>Marcos</t>
        </is>
      </c>
      <c r="D154" s="53" t="n">
        <v>1166</v>
      </c>
      <c r="E154" s="53" t="n">
        <v>1175.4</v>
      </c>
      <c r="F154" s="53" t="n">
        <v>9.4</v>
      </c>
      <c r="G154" s="53" t="n">
        <v>88</v>
      </c>
      <c r="H154" s="52" t="inlineStr">
        <is>
          <t>S-500</t>
        </is>
      </c>
      <c r="I154" s="53" t="n">
        <v>3</v>
      </c>
      <c r="J154" s="53" t="n">
        <v>180</v>
      </c>
      <c r="K154" s="53" t="n">
        <v>2.05</v>
      </c>
      <c r="L154" s="52" t="inlineStr">
        <is>
          <t>km/L</t>
        </is>
      </c>
      <c r="M154" s="52" t="n">
        <v>192</v>
      </c>
      <c r="N154" s="53" t="n">
        <v>0.46</v>
      </c>
      <c r="O154" s="52" t="inlineStr">
        <is>
          <t>Continua em operação</t>
        </is>
      </c>
      <c r="P154" s="52" t="inlineStr">
        <is>
          <t>EX-A0151</t>
        </is>
      </c>
    </row>
    <row r="155">
      <c r="A155" s="51" t="n">
        <v>46260</v>
      </c>
      <c r="B155" s="52" t="inlineStr">
        <is>
          <t>CB-11</t>
        </is>
      </c>
      <c r="C155" s="52" t="inlineStr">
        <is>
          <t>Saulo</t>
        </is>
      </c>
      <c r="D155" s="53" t="n">
        <v>1297</v>
      </c>
      <c r="E155" s="53" t="n">
        <v>1306.7</v>
      </c>
      <c r="F155" s="53" t="n">
        <v>9.699999999999999</v>
      </c>
      <c r="G155" s="53" t="n">
        <v>139</v>
      </c>
      <c r="H155" s="52" t="inlineStr">
        <is>
          <t>S-10</t>
        </is>
      </c>
      <c r="I155" s="52" t="n">
        <v>0</v>
      </c>
      <c r="J155" s="53" t="n">
        <v>278</v>
      </c>
      <c r="K155" s="53" t="n">
        <v>2</v>
      </c>
      <c r="L155" s="52" t="inlineStr">
        <is>
          <t>km/L</t>
        </is>
      </c>
      <c r="M155" s="52" t="n">
        <v>288</v>
      </c>
      <c r="N155" s="53" t="n">
        <v>0.48</v>
      </c>
      <c r="O155" s="52" t="inlineStr">
        <is>
          <t>Continua em operação</t>
        </is>
      </c>
      <c r="P155" s="52" t="inlineStr">
        <is>
          <t>EX-A0152</t>
        </is>
      </c>
    </row>
    <row r="156">
      <c r="A156" s="51" t="n">
        <v>46260</v>
      </c>
      <c r="B156" s="52" t="inlineStr">
        <is>
          <t>CB-17</t>
        </is>
      </c>
      <c r="C156" s="52" t="inlineStr">
        <is>
          <t>José</t>
        </is>
      </c>
      <c r="D156" s="53" t="n">
        <v>1431</v>
      </c>
      <c r="E156" s="53" t="n">
        <v>1438.7</v>
      </c>
      <c r="F156" s="53" t="n">
        <v>7.7</v>
      </c>
      <c r="G156" s="53" t="n">
        <v>132</v>
      </c>
      <c r="H156" s="52" t="inlineStr">
        <is>
          <t>S-10</t>
        </is>
      </c>
      <c r="I156" s="52" t="n">
        <v>0</v>
      </c>
      <c r="J156" s="53" t="n">
        <v>269</v>
      </c>
      <c r="K156" s="53" t="n">
        <v>2.04</v>
      </c>
      <c r="L156" s="52" t="inlineStr">
        <is>
          <t>km/L</t>
        </is>
      </c>
      <c r="M156" s="52" t="n">
        <v>288</v>
      </c>
      <c r="N156" s="53" t="n">
        <v>0.46</v>
      </c>
      <c r="O156" s="52" t="inlineStr">
        <is>
          <t>Continua em operação</t>
        </is>
      </c>
      <c r="P156" s="52" t="inlineStr">
        <is>
          <t>EX-A0153</t>
        </is>
      </c>
    </row>
    <row r="157">
      <c r="A157" s="51" t="n">
        <v>46260</v>
      </c>
      <c r="B157" s="52" t="inlineStr">
        <is>
          <t>CB-22</t>
        </is>
      </c>
      <c r="C157" s="52" t="inlineStr">
        <is>
          <t>Carlos</t>
        </is>
      </c>
      <c r="D157" s="53" t="n">
        <v>1563.7</v>
      </c>
      <c r="E157" s="53" t="n">
        <v>1572.7</v>
      </c>
      <c r="F157" s="53" t="n">
        <v>9</v>
      </c>
      <c r="G157" s="53" t="n">
        <v>215</v>
      </c>
      <c r="H157" s="52" t="inlineStr">
        <is>
          <t>S-10</t>
        </is>
      </c>
      <c r="I157" s="53" t="n">
        <v>6</v>
      </c>
      <c r="J157" s="53" t="n">
        <v>331</v>
      </c>
      <c r="K157" s="53" t="n">
        <v>1.54</v>
      </c>
      <c r="L157" s="52" t="inlineStr">
        <is>
          <t>km/L</t>
        </is>
      </c>
      <c r="M157" s="52" t="n">
        <v>270</v>
      </c>
      <c r="N157" s="53" t="n">
        <v>0.8</v>
      </c>
      <c r="O157" s="52" t="inlineStr">
        <is>
          <t>Continua em operação</t>
        </is>
      </c>
      <c r="P157" s="52" t="inlineStr">
        <is>
          <t>EX-A0154</t>
        </is>
      </c>
    </row>
    <row r="158">
      <c r="A158" s="51" t="n">
        <v>46260</v>
      </c>
      <c r="B158" s="52" t="inlineStr">
        <is>
          <t>PC-02</t>
        </is>
      </c>
      <c r="C158" s="52" t="inlineStr">
        <is>
          <t>Marcos</t>
        </is>
      </c>
      <c r="D158" s="53" t="n">
        <v>1807.5</v>
      </c>
      <c r="E158" s="53" t="n">
        <v>1818</v>
      </c>
      <c r="F158" s="53" t="n">
        <v>10.5</v>
      </c>
      <c r="G158" s="53" t="n">
        <v>201</v>
      </c>
      <c r="H158" s="52" t="inlineStr">
        <is>
          <t>S-10</t>
        </is>
      </c>
      <c r="I158" s="52" t="n">
        <v>0</v>
      </c>
      <c r="J158" s="52" t="n">
        <v>0</v>
      </c>
      <c r="K158" s="53" t="n">
        <v>19.14</v>
      </c>
      <c r="L158" s="52" t="inlineStr">
        <is>
          <t>L/h</t>
        </is>
      </c>
      <c r="M158" s="52" t="inlineStr"/>
      <c r="N158" s="52" t="inlineStr"/>
      <c r="O158" s="52" t="inlineStr">
        <is>
          <t>Continua em operação</t>
        </is>
      </c>
      <c r="P158" s="52" t="inlineStr">
        <is>
          <t>EX-A0155</t>
        </is>
      </c>
    </row>
    <row r="159">
      <c r="A159" s="51" t="n">
        <v>46260</v>
      </c>
      <c r="B159" s="52" t="inlineStr">
        <is>
          <t>RD-01</t>
        </is>
      </c>
      <c r="C159" s="52" t="inlineStr">
        <is>
          <t>Saulo</t>
        </is>
      </c>
      <c r="D159" s="53" t="n">
        <v>1948.2</v>
      </c>
      <c r="E159" s="53" t="n">
        <v>1956.6</v>
      </c>
      <c r="F159" s="53" t="n">
        <v>8.4</v>
      </c>
      <c r="G159" s="53" t="n">
        <v>95</v>
      </c>
      <c r="H159" s="52" t="inlineStr">
        <is>
          <t>S-10</t>
        </is>
      </c>
      <c r="I159" s="52" t="n">
        <v>0</v>
      </c>
      <c r="J159" s="52" t="n">
        <v>0</v>
      </c>
      <c r="K159" s="53" t="n">
        <v>11.31</v>
      </c>
      <c r="L159" s="52" t="inlineStr">
        <is>
          <t>L/h</t>
        </is>
      </c>
      <c r="M159" s="52" t="inlineStr"/>
      <c r="N159" s="52" t="inlineStr"/>
      <c r="O159" s="52" t="inlineStr">
        <is>
          <t>Continua em operação</t>
        </is>
      </c>
      <c r="P159" s="52" t="inlineStr">
        <is>
          <t>EX-A0156</t>
        </is>
      </c>
    </row>
    <row r="160">
      <c r="A160" s="51" t="n">
        <v>46260</v>
      </c>
      <c r="B160" s="52" t="inlineStr">
        <is>
          <t>MG-01</t>
        </is>
      </c>
      <c r="C160" s="52" t="inlineStr">
        <is>
          <t>José</t>
        </is>
      </c>
      <c r="D160" s="53" t="n">
        <v>2077.5</v>
      </c>
      <c r="E160" s="53" t="n">
        <v>2086.4</v>
      </c>
      <c r="F160" s="53" t="n">
        <v>8.9</v>
      </c>
      <c r="G160" s="53" t="n">
        <v>104</v>
      </c>
      <c r="H160" s="52" t="inlineStr">
        <is>
          <t>S-10</t>
        </is>
      </c>
      <c r="I160" s="52" t="n">
        <v>0</v>
      </c>
      <c r="J160" s="52" t="n">
        <v>0</v>
      </c>
      <c r="K160" s="53" t="n">
        <v>11.69</v>
      </c>
      <c r="L160" s="52" t="inlineStr">
        <is>
          <t>L/h</t>
        </is>
      </c>
      <c r="M160" s="52" t="inlineStr"/>
      <c r="N160" s="52" t="inlineStr"/>
      <c r="O160" s="52" t="inlineStr">
        <is>
          <t>Continua em operação</t>
        </is>
      </c>
      <c r="P160" s="52" t="inlineStr">
        <is>
          <t>EX-A0157</t>
        </is>
      </c>
    </row>
    <row r="161">
      <c r="A161" s="51" t="n">
        <v>46261</v>
      </c>
      <c r="B161" s="52" t="inlineStr">
        <is>
          <t>CB-01</t>
        </is>
      </c>
      <c r="C161" s="52" t="inlineStr">
        <is>
          <t>Saulo</t>
        </is>
      </c>
      <c r="D161" s="53" t="n">
        <v>1175.4</v>
      </c>
      <c r="E161" s="53" t="n">
        <v>1183.1</v>
      </c>
      <c r="F161" s="53" t="n">
        <v>7.7</v>
      </c>
      <c r="G161" s="53" t="n">
        <v>170</v>
      </c>
      <c r="H161" s="52" t="inlineStr">
        <is>
          <t>S-500</t>
        </is>
      </c>
      <c r="I161" s="53" t="n">
        <v>5</v>
      </c>
      <c r="J161" s="53" t="n">
        <v>372</v>
      </c>
      <c r="K161" s="53" t="n">
        <v>2.19</v>
      </c>
      <c r="L161" s="52" t="inlineStr">
        <is>
          <t>km/L</t>
        </is>
      </c>
      <c r="M161" s="52" t="n">
        <v>360</v>
      </c>
      <c r="N161" s="53" t="n">
        <v>0.47</v>
      </c>
      <c r="O161" s="52" t="inlineStr">
        <is>
          <t>Continua em operação</t>
        </is>
      </c>
      <c r="P161" s="52" t="inlineStr">
        <is>
          <t>EX-A0158</t>
        </is>
      </c>
    </row>
    <row r="162">
      <c r="A162" s="51" t="n">
        <v>46261</v>
      </c>
      <c r="B162" s="52" t="inlineStr">
        <is>
          <t>CB-11</t>
        </is>
      </c>
      <c r="C162" s="52" t="inlineStr">
        <is>
          <t>José</t>
        </is>
      </c>
      <c r="D162" s="53" t="n">
        <v>1306.7</v>
      </c>
      <c r="E162" s="53" t="n">
        <v>1317</v>
      </c>
      <c r="F162" s="53" t="n">
        <v>10.3</v>
      </c>
      <c r="G162" s="53" t="n">
        <v>88</v>
      </c>
      <c r="H162" s="52" t="inlineStr">
        <is>
          <t>S-10</t>
        </is>
      </c>
      <c r="I162" s="52" t="n">
        <v>0</v>
      </c>
      <c r="J162" s="53" t="n">
        <v>189</v>
      </c>
      <c r="K162" s="53" t="n">
        <v>2.15</v>
      </c>
      <c r="L162" s="52" t="inlineStr">
        <is>
          <t>km/L</t>
        </is>
      </c>
      <c r="M162" s="52" t="n">
        <v>192</v>
      </c>
      <c r="N162" s="53" t="n">
        <v>0.46</v>
      </c>
      <c r="O162" s="52" t="inlineStr">
        <is>
          <t>Continua em operação</t>
        </is>
      </c>
      <c r="P162" s="52" t="inlineStr">
        <is>
          <t>EX-A0159</t>
        </is>
      </c>
    </row>
    <row r="163">
      <c r="A163" s="51" t="n">
        <v>46261</v>
      </c>
      <c r="B163" s="52" t="inlineStr">
        <is>
          <t>CB-17</t>
        </is>
      </c>
      <c r="C163" s="52" t="inlineStr">
        <is>
          <t>Carlos</t>
        </is>
      </c>
      <c r="D163" s="53" t="n">
        <v>1438.7</v>
      </c>
      <c r="E163" s="53" t="n">
        <v>1447</v>
      </c>
      <c r="F163" s="53" t="n">
        <v>8.300000000000001</v>
      </c>
      <c r="G163" s="53" t="n">
        <v>136</v>
      </c>
      <c r="H163" s="52" t="inlineStr">
        <is>
          <t>S-10</t>
        </is>
      </c>
      <c r="I163" s="52" t="n">
        <v>0</v>
      </c>
      <c r="J163" s="53" t="n">
        <v>289</v>
      </c>
      <c r="K163" s="53" t="n">
        <v>2.12</v>
      </c>
      <c r="L163" s="52" t="inlineStr">
        <is>
          <t>km/L</t>
        </is>
      </c>
      <c r="M163" s="52" t="n">
        <v>280</v>
      </c>
      <c r="N163" s="53" t="n">
        <v>0.49</v>
      </c>
      <c r="O163" s="52" t="inlineStr">
        <is>
          <t>Continua em operação</t>
        </is>
      </c>
      <c r="P163" s="52" t="inlineStr">
        <is>
          <t>EX-A0160</t>
        </is>
      </c>
    </row>
    <row r="164">
      <c r="A164" s="51" t="n">
        <v>46261</v>
      </c>
      <c r="B164" s="52" t="inlineStr">
        <is>
          <t>CB-22</t>
        </is>
      </c>
      <c r="C164" s="52" t="inlineStr">
        <is>
          <t>Antônio</t>
        </is>
      </c>
      <c r="D164" s="53" t="n">
        <v>1572.7</v>
      </c>
      <c r="E164" s="53" t="n">
        <v>1581</v>
      </c>
      <c r="F164" s="53" t="n">
        <v>8.300000000000001</v>
      </c>
      <c r="G164" s="53" t="n">
        <v>151</v>
      </c>
      <c r="H164" s="52" t="inlineStr">
        <is>
          <t>S-10</t>
        </is>
      </c>
      <c r="I164" s="53" t="n">
        <v>5</v>
      </c>
      <c r="J164" s="53" t="n">
        <v>226</v>
      </c>
      <c r="K164" s="53" t="n">
        <v>1.5</v>
      </c>
      <c r="L164" s="52" t="inlineStr">
        <is>
          <t>km/L</t>
        </is>
      </c>
      <c r="M164" s="52" t="n">
        <v>192</v>
      </c>
      <c r="N164" s="53" t="n">
        <v>0.79</v>
      </c>
      <c r="O164" s="52" t="inlineStr">
        <is>
          <t>Continua em operação</t>
        </is>
      </c>
      <c r="P164" s="52" t="inlineStr">
        <is>
          <t>EX-A0161</t>
        </is>
      </c>
    </row>
    <row r="165">
      <c r="A165" s="51" t="n">
        <v>46261</v>
      </c>
      <c r="B165" s="52" t="inlineStr">
        <is>
          <t>PC-01</t>
        </is>
      </c>
      <c r="C165" s="52" t="inlineStr">
        <is>
          <t>Marcos</t>
        </is>
      </c>
      <c r="D165" s="53" t="n">
        <v>1694.1</v>
      </c>
      <c r="E165" s="53" t="n">
        <v>1704.2</v>
      </c>
      <c r="F165" s="53" t="n">
        <v>10.1</v>
      </c>
      <c r="G165" s="53" t="n">
        <v>189</v>
      </c>
      <c r="H165" s="52" t="inlineStr">
        <is>
          <t>S-10</t>
        </is>
      </c>
      <c r="I165" s="52" t="n">
        <v>0</v>
      </c>
      <c r="J165" s="52" t="n">
        <v>0</v>
      </c>
      <c r="K165" s="53" t="n">
        <v>18.71</v>
      </c>
      <c r="L165" s="52" t="inlineStr">
        <is>
          <t>L/h</t>
        </is>
      </c>
      <c r="M165" s="52" t="inlineStr"/>
      <c r="N165" s="52" t="inlineStr"/>
      <c r="O165" s="52" t="inlineStr">
        <is>
          <t>Continua em operação</t>
        </is>
      </c>
      <c r="P165" s="52" t="inlineStr">
        <is>
          <t>EX-A0162</t>
        </is>
      </c>
    </row>
    <row r="166">
      <c r="A166" s="51" t="n">
        <v>46261</v>
      </c>
      <c r="B166" s="52" t="inlineStr">
        <is>
          <t>PC-02</t>
        </is>
      </c>
      <c r="C166" s="52" t="inlineStr">
        <is>
          <t>Saulo</t>
        </is>
      </c>
      <c r="D166" s="53" t="n">
        <v>1818</v>
      </c>
      <c r="E166" s="53" t="n">
        <v>1826</v>
      </c>
      <c r="F166" s="53" t="n">
        <v>8</v>
      </c>
      <c r="G166" s="53" t="n">
        <v>162</v>
      </c>
      <c r="H166" s="52" t="inlineStr">
        <is>
          <t>S-10</t>
        </is>
      </c>
      <c r="I166" s="52" t="n">
        <v>0</v>
      </c>
      <c r="J166" s="52" t="n">
        <v>0</v>
      </c>
      <c r="K166" s="53" t="n">
        <v>20.25</v>
      </c>
      <c r="L166" s="52" t="inlineStr">
        <is>
          <t>L/h</t>
        </is>
      </c>
      <c r="M166" s="52" t="inlineStr"/>
      <c r="N166" s="52" t="inlineStr"/>
      <c r="O166" s="52" t="inlineStr">
        <is>
          <t>Continua em operação</t>
        </is>
      </c>
      <c r="P166" s="52" t="inlineStr">
        <is>
          <t>EX-A0163</t>
        </is>
      </c>
    </row>
    <row r="167">
      <c r="A167" s="51" t="n">
        <v>46261</v>
      </c>
      <c r="B167" s="52" t="inlineStr">
        <is>
          <t>RD-01</t>
        </is>
      </c>
      <c r="C167" s="52" t="inlineStr">
        <is>
          <t>José</t>
        </is>
      </c>
      <c r="D167" s="53" t="n">
        <v>1956.6</v>
      </c>
      <c r="E167" s="53" t="n">
        <v>1966.1</v>
      </c>
      <c r="F167" s="53" t="n">
        <v>9.5</v>
      </c>
      <c r="G167" s="53" t="n">
        <v>112</v>
      </c>
      <c r="H167" s="52" t="inlineStr">
        <is>
          <t>S-10</t>
        </is>
      </c>
      <c r="I167" s="52" t="n">
        <v>0</v>
      </c>
      <c r="J167" s="52" t="n">
        <v>0</v>
      </c>
      <c r="K167" s="53" t="n">
        <v>11.79</v>
      </c>
      <c r="L167" s="52" t="inlineStr">
        <is>
          <t>L/h</t>
        </is>
      </c>
      <c r="M167" s="52" t="inlineStr"/>
      <c r="N167" s="52" t="inlineStr"/>
      <c r="O167" s="52" t="inlineStr">
        <is>
          <t>Continua em operação</t>
        </is>
      </c>
      <c r="P167" s="52" t="inlineStr">
        <is>
          <t>EX-A0164</t>
        </is>
      </c>
    </row>
    <row r="168">
      <c r="A168" s="51" t="n">
        <v>46261</v>
      </c>
      <c r="B168" s="52" t="inlineStr">
        <is>
          <t>MG-01</t>
        </is>
      </c>
      <c r="C168" s="52" t="inlineStr">
        <is>
          <t>Carlos</t>
        </is>
      </c>
      <c r="D168" s="53" t="n">
        <v>2086.4</v>
      </c>
      <c r="E168" s="53" t="n">
        <v>2096.1</v>
      </c>
      <c r="F168" s="53" t="n">
        <v>9.699999999999999</v>
      </c>
      <c r="G168" s="53" t="n">
        <v>115</v>
      </c>
      <c r="H168" s="52" t="inlineStr">
        <is>
          <t>S-10</t>
        </is>
      </c>
      <c r="I168" s="52" t="n">
        <v>0</v>
      </c>
      <c r="J168" s="52" t="n">
        <v>0</v>
      </c>
      <c r="K168" s="53" t="n">
        <v>11.86</v>
      </c>
      <c r="L168" s="52" t="inlineStr">
        <is>
          <t>L/h</t>
        </is>
      </c>
      <c r="M168" s="52" t="inlineStr"/>
      <c r="N168" s="52" t="inlineStr"/>
      <c r="O168" s="52" t="inlineStr">
        <is>
          <t>Continua em operação</t>
        </is>
      </c>
      <c r="P168" s="52" t="inlineStr">
        <is>
          <t>EX-A0165</t>
        </is>
      </c>
    </row>
    <row r="169">
      <c r="A169" s="51" t="n">
        <v>46262</v>
      </c>
      <c r="B169" s="52" t="inlineStr">
        <is>
          <t>CB-01</t>
        </is>
      </c>
      <c r="C169" s="52" t="inlineStr">
        <is>
          <t>José</t>
        </is>
      </c>
      <c r="D169" s="53" t="n">
        <v>1183.1</v>
      </c>
      <c r="E169" s="53" t="n">
        <v>1191.7</v>
      </c>
      <c r="F169" s="53" t="n">
        <v>8.6</v>
      </c>
      <c r="G169" s="53" t="n">
        <v>81</v>
      </c>
      <c r="H169" s="52" t="inlineStr">
        <is>
          <t>S-500</t>
        </is>
      </c>
      <c r="I169" s="53" t="n">
        <v>2</v>
      </c>
      <c r="J169" s="53" t="n">
        <v>174</v>
      </c>
      <c r="K169" s="53" t="n">
        <v>2.15</v>
      </c>
      <c r="L169" s="52" t="inlineStr">
        <is>
          <t>km/L</t>
        </is>
      </c>
      <c r="M169" s="52" t="n">
        <v>180</v>
      </c>
      <c r="N169" s="53" t="n">
        <v>0.45</v>
      </c>
      <c r="O169" s="52" t="inlineStr">
        <is>
          <t>Continua em operação</t>
        </is>
      </c>
      <c r="P169" s="52" t="inlineStr">
        <is>
          <t>EX-A0166</t>
        </is>
      </c>
    </row>
    <row r="170">
      <c r="A170" s="51" t="n">
        <v>46262</v>
      </c>
      <c r="B170" s="52" t="inlineStr">
        <is>
          <t>CB-11</t>
        </is>
      </c>
      <c r="C170" s="52" t="inlineStr">
        <is>
          <t>Carlos</t>
        </is>
      </c>
      <c r="D170" s="53" t="n">
        <v>1317</v>
      </c>
      <c r="E170" s="53" t="n">
        <v>1327</v>
      </c>
      <c r="F170" s="53" t="n">
        <v>10</v>
      </c>
      <c r="G170" s="53" t="n">
        <v>83</v>
      </c>
      <c r="H170" s="52" t="inlineStr">
        <is>
          <t>S-10</t>
        </is>
      </c>
      <c r="I170" s="52" t="n">
        <v>0</v>
      </c>
      <c r="J170" s="53" t="n">
        <v>181</v>
      </c>
      <c r="K170" s="53" t="n">
        <v>2.18</v>
      </c>
      <c r="L170" s="52" t="inlineStr">
        <is>
          <t>km/L</t>
        </is>
      </c>
      <c r="M170" s="52" t="n">
        <v>168</v>
      </c>
      <c r="N170" s="53" t="n">
        <v>0.49</v>
      </c>
      <c r="O170" s="52" t="inlineStr">
        <is>
          <t>Continua em operação</t>
        </is>
      </c>
      <c r="P170" s="52" t="inlineStr">
        <is>
          <t>EX-A0167</t>
        </is>
      </c>
    </row>
    <row r="171">
      <c r="A171" s="51" t="n">
        <v>46262</v>
      </c>
      <c r="B171" s="52" t="inlineStr">
        <is>
          <t>CB-17</t>
        </is>
      </c>
      <c r="C171" s="52" t="inlineStr">
        <is>
          <t>Antônio</t>
        </is>
      </c>
      <c r="D171" s="53" t="n">
        <v>1447</v>
      </c>
      <c r="E171" s="53" t="n">
        <v>1455.4</v>
      </c>
      <c r="F171" s="53" t="n">
        <v>8.4</v>
      </c>
      <c r="G171" s="53" t="n">
        <v>133</v>
      </c>
      <c r="H171" s="52" t="inlineStr">
        <is>
          <t>S-10</t>
        </is>
      </c>
      <c r="I171" s="52" t="n">
        <v>0</v>
      </c>
      <c r="J171" s="53" t="n">
        <v>293</v>
      </c>
      <c r="K171" s="53" t="n">
        <v>2.2</v>
      </c>
      <c r="L171" s="52" t="inlineStr">
        <is>
          <t>km/L</t>
        </is>
      </c>
      <c r="M171" s="52" t="n">
        <v>280</v>
      </c>
      <c r="N171" s="53" t="n">
        <v>0.47</v>
      </c>
      <c r="O171" s="52" t="inlineStr">
        <is>
          <t>Continua em operação</t>
        </is>
      </c>
      <c r="P171" s="52" t="inlineStr">
        <is>
          <t>EX-A0168</t>
        </is>
      </c>
    </row>
    <row r="172">
      <c r="A172" s="51" t="n">
        <v>46262</v>
      </c>
      <c r="B172" s="52" t="inlineStr">
        <is>
          <t>CB-22</t>
        </is>
      </c>
      <c r="C172" s="52" t="inlineStr">
        <is>
          <t>Marcos</t>
        </is>
      </c>
      <c r="D172" s="53" t="n">
        <v>1581</v>
      </c>
      <c r="E172" s="53" t="n">
        <v>1590.3</v>
      </c>
      <c r="F172" s="53" t="n">
        <v>9.300000000000001</v>
      </c>
      <c r="G172" s="53" t="n">
        <v>247</v>
      </c>
      <c r="H172" s="52" t="inlineStr">
        <is>
          <t>S-10</t>
        </is>
      </c>
      <c r="I172" s="53" t="n">
        <v>7</v>
      </c>
      <c r="J172" s="53" t="n">
        <v>384</v>
      </c>
      <c r="K172" s="53" t="n">
        <v>1.55</v>
      </c>
      <c r="L172" s="52" t="inlineStr">
        <is>
          <t>km/L</t>
        </is>
      </c>
      <c r="M172" s="52" t="n">
        <v>300</v>
      </c>
      <c r="N172" s="53" t="n">
        <v>0.82</v>
      </c>
      <c r="O172" s="52" t="inlineStr">
        <is>
          <t>Continua em operação</t>
        </is>
      </c>
      <c r="P172" s="52" t="inlineStr">
        <is>
          <t>EX-A0169</t>
        </is>
      </c>
    </row>
    <row r="173">
      <c r="A173" s="51" t="n">
        <v>46262</v>
      </c>
      <c r="B173" s="52" t="inlineStr">
        <is>
          <t>PC-01</t>
        </is>
      </c>
      <c r="C173" s="52" t="inlineStr">
        <is>
          <t>Saulo</t>
        </is>
      </c>
      <c r="D173" s="53" t="n">
        <v>1704.2</v>
      </c>
      <c r="E173" s="53" t="n">
        <v>1712.5</v>
      </c>
      <c r="F173" s="53" t="n">
        <v>8.300000000000001</v>
      </c>
      <c r="G173" s="53" t="n">
        <v>148</v>
      </c>
      <c r="H173" s="52" t="inlineStr">
        <is>
          <t>S-10</t>
        </is>
      </c>
      <c r="I173" s="52" t="n">
        <v>0</v>
      </c>
      <c r="J173" s="52" t="n">
        <v>0</v>
      </c>
      <c r="K173" s="53" t="n">
        <v>17.83</v>
      </c>
      <c r="L173" s="52" t="inlineStr">
        <is>
          <t>L/h</t>
        </is>
      </c>
      <c r="M173" s="52" t="inlineStr"/>
      <c r="N173" s="52" t="inlineStr"/>
      <c r="O173" s="52" t="inlineStr">
        <is>
          <t>Continua em operação</t>
        </is>
      </c>
      <c r="P173" s="52" t="inlineStr">
        <is>
          <t>EX-A0170</t>
        </is>
      </c>
    </row>
    <row r="174">
      <c r="A174" s="51" t="n">
        <v>46262</v>
      </c>
      <c r="B174" s="52" t="inlineStr">
        <is>
          <t>PC-02</t>
        </is>
      </c>
      <c r="C174" s="52" t="inlineStr">
        <is>
          <t>José</t>
        </is>
      </c>
      <c r="D174" s="53" t="n">
        <v>1826</v>
      </c>
      <c r="E174" s="53" t="n">
        <v>1835.5</v>
      </c>
      <c r="F174" s="53" t="n">
        <v>9.5</v>
      </c>
      <c r="G174" s="53" t="n">
        <v>184</v>
      </c>
      <c r="H174" s="52" t="inlineStr">
        <is>
          <t>S-10</t>
        </is>
      </c>
      <c r="I174" s="52" t="n">
        <v>0</v>
      </c>
      <c r="J174" s="52" t="n">
        <v>0</v>
      </c>
      <c r="K174" s="53" t="n">
        <v>19.37</v>
      </c>
      <c r="L174" s="52" t="inlineStr">
        <is>
          <t>L/h</t>
        </is>
      </c>
      <c r="M174" s="52" t="inlineStr"/>
      <c r="N174" s="52" t="inlineStr"/>
      <c r="O174" s="52" t="inlineStr">
        <is>
          <t>Continua em operação</t>
        </is>
      </c>
      <c r="P174" s="52" t="inlineStr">
        <is>
          <t>EX-A0171</t>
        </is>
      </c>
    </row>
    <row r="175">
      <c r="A175" s="51" t="n">
        <v>46262</v>
      </c>
      <c r="B175" s="52" t="inlineStr">
        <is>
          <t>RD-01</t>
        </is>
      </c>
      <c r="C175" s="52" t="inlineStr">
        <is>
          <t>Carlos</t>
        </is>
      </c>
      <c r="D175" s="53" t="n">
        <v>1966.1</v>
      </c>
      <c r="E175" s="53" t="n">
        <v>1974</v>
      </c>
      <c r="F175" s="53" t="n">
        <v>7.9</v>
      </c>
      <c r="G175" s="53" t="n">
        <v>101</v>
      </c>
      <c r="H175" s="52" t="inlineStr">
        <is>
          <t>S-10</t>
        </is>
      </c>
      <c r="I175" s="52" t="n">
        <v>0</v>
      </c>
      <c r="J175" s="52" t="n">
        <v>0</v>
      </c>
      <c r="K175" s="53" t="n">
        <v>12.78</v>
      </c>
      <c r="L175" s="52" t="inlineStr">
        <is>
          <t>L/h</t>
        </is>
      </c>
      <c r="M175" s="52" t="inlineStr"/>
      <c r="N175" s="52" t="inlineStr"/>
      <c r="O175" s="52" t="inlineStr">
        <is>
          <t>Continua em operação</t>
        </is>
      </c>
      <c r="P175" s="52" t="inlineStr">
        <is>
          <t>EX-A0172</t>
        </is>
      </c>
    </row>
    <row r="176">
      <c r="A176" s="51" t="n">
        <v>46262</v>
      </c>
      <c r="B176" s="52" t="inlineStr">
        <is>
          <t>MG-01</t>
        </is>
      </c>
      <c r="C176" s="52" t="inlineStr">
        <is>
          <t>Antônio</t>
        </is>
      </c>
      <c r="D176" s="53" t="n">
        <v>2096.1</v>
      </c>
      <c r="E176" s="53" t="n">
        <v>2104.9</v>
      </c>
      <c r="F176" s="53" t="n">
        <v>8.800000000000001</v>
      </c>
      <c r="G176" s="53" t="n">
        <v>103</v>
      </c>
      <c r="H176" s="52" t="inlineStr">
        <is>
          <t>S-10</t>
        </is>
      </c>
      <c r="I176" s="52" t="n">
        <v>0</v>
      </c>
      <c r="J176" s="52" t="n">
        <v>0</v>
      </c>
      <c r="K176" s="53" t="n">
        <v>11.7</v>
      </c>
      <c r="L176" s="52" t="inlineStr">
        <is>
          <t>L/h</t>
        </is>
      </c>
      <c r="M176" s="52" t="inlineStr"/>
      <c r="N176" s="52" t="inlineStr"/>
      <c r="O176" s="52" t="inlineStr">
        <is>
          <t>Continua em operação</t>
        </is>
      </c>
      <c r="P176" s="52" t="inlineStr">
        <is>
          <t>EX-A0173</t>
        </is>
      </c>
    </row>
    <row r="177">
      <c r="A177" s="51" t="n">
        <v>46263</v>
      </c>
      <c r="B177" s="52" t="inlineStr">
        <is>
          <t>CB-01</t>
        </is>
      </c>
      <c r="C177" s="52" t="inlineStr">
        <is>
          <t>Carlos</t>
        </is>
      </c>
      <c r="D177" s="53" t="n">
        <v>1191.7</v>
      </c>
      <c r="E177" s="53" t="n">
        <v>1201.5</v>
      </c>
      <c r="F177" s="53" t="n">
        <v>9.800000000000001</v>
      </c>
      <c r="G177" s="53" t="n">
        <v>153</v>
      </c>
      <c r="H177" s="52" t="inlineStr">
        <is>
          <t>S-500</t>
        </is>
      </c>
      <c r="I177" s="53" t="n">
        <v>5</v>
      </c>
      <c r="J177" s="53" t="n">
        <v>326</v>
      </c>
      <c r="K177" s="53" t="n">
        <v>2.13</v>
      </c>
      <c r="L177" s="52" t="inlineStr">
        <is>
          <t>km/L</t>
        </is>
      </c>
      <c r="M177" s="52" t="n">
        <v>308</v>
      </c>
      <c r="N177" s="53" t="n">
        <v>0.5</v>
      </c>
      <c r="O177" s="52" t="inlineStr">
        <is>
          <t>Continua em operação</t>
        </is>
      </c>
      <c r="P177" s="52" t="inlineStr">
        <is>
          <t>EX-A0174</t>
        </is>
      </c>
    </row>
    <row r="178">
      <c r="A178" s="51" t="n">
        <v>46263</v>
      </c>
      <c r="B178" s="52" t="inlineStr">
        <is>
          <t>CB-11</t>
        </is>
      </c>
      <c r="C178" s="52" t="inlineStr">
        <is>
          <t>Antônio</t>
        </is>
      </c>
      <c r="D178" s="53" t="n">
        <v>1327</v>
      </c>
      <c r="E178" s="53" t="n">
        <v>1337.2</v>
      </c>
      <c r="F178" s="53" t="n">
        <v>10.2</v>
      </c>
      <c r="G178" s="53" t="n">
        <v>117</v>
      </c>
      <c r="H178" s="52" t="inlineStr">
        <is>
          <t>S-10</t>
        </is>
      </c>
      <c r="I178" s="52" t="n">
        <v>0</v>
      </c>
      <c r="J178" s="53" t="n">
        <v>256</v>
      </c>
      <c r="K178" s="53" t="n">
        <v>2.19</v>
      </c>
      <c r="L178" s="52" t="inlineStr">
        <is>
          <t>km/L</t>
        </is>
      </c>
      <c r="M178" s="52" t="n">
        <v>256</v>
      </c>
      <c r="N178" s="53" t="n">
        <v>0.46</v>
      </c>
      <c r="O178" s="52" t="inlineStr">
        <is>
          <t>Continua em operação</t>
        </is>
      </c>
      <c r="P178" s="52" t="inlineStr">
        <is>
          <t>EX-A0175</t>
        </is>
      </c>
    </row>
    <row r="179">
      <c r="A179" s="51" t="n">
        <v>46263</v>
      </c>
      <c r="B179" s="52" t="inlineStr">
        <is>
          <t>CB-17</t>
        </is>
      </c>
      <c r="C179" s="52" t="inlineStr">
        <is>
          <t>Marcos</t>
        </is>
      </c>
      <c r="D179" s="53" t="n">
        <v>1455.4</v>
      </c>
      <c r="E179" s="53" t="n">
        <v>1464.1</v>
      </c>
      <c r="F179" s="53" t="n">
        <v>8.699999999999999</v>
      </c>
      <c r="G179" s="53" t="n">
        <v>112</v>
      </c>
      <c r="H179" s="52" t="inlineStr">
        <is>
          <t>S-10</t>
        </is>
      </c>
      <c r="I179" s="52" t="n">
        <v>0</v>
      </c>
      <c r="J179" s="53" t="n">
        <v>235</v>
      </c>
      <c r="K179" s="53" t="n">
        <v>2.1</v>
      </c>
      <c r="L179" s="52" t="inlineStr">
        <is>
          <t>km/L</t>
        </is>
      </c>
      <c r="M179" s="52" t="n">
        <v>224</v>
      </c>
      <c r="N179" s="53" t="n">
        <v>0.5</v>
      </c>
      <c r="O179" s="52" t="inlineStr">
        <is>
          <t>Continua em operação</t>
        </is>
      </c>
      <c r="P179" s="52" t="inlineStr">
        <is>
          <t>EX-A0176</t>
        </is>
      </c>
    </row>
    <row r="180">
      <c r="A180" s="51" t="n">
        <v>46263</v>
      </c>
      <c r="B180" s="52" t="inlineStr">
        <is>
          <t>CB-22</t>
        </is>
      </c>
      <c r="C180" s="52" t="inlineStr">
        <is>
          <t>Saulo</t>
        </is>
      </c>
      <c r="D180" s="53" t="n">
        <v>1590.3</v>
      </c>
      <c r="E180" s="53" t="n">
        <v>1600.5</v>
      </c>
      <c r="F180" s="53" t="n">
        <v>10.2</v>
      </c>
      <c r="G180" s="53" t="n">
        <v>156</v>
      </c>
      <c r="H180" s="52" t="inlineStr">
        <is>
          <t>S-10</t>
        </is>
      </c>
      <c r="I180" s="53" t="n">
        <v>5</v>
      </c>
      <c r="J180" s="53" t="n">
        <v>230</v>
      </c>
      <c r="K180" s="53" t="n">
        <v>1.47</v>
      </c>
      <c r="L180" s="52" t="inlineStr">
        <is>
          <t>km/L</t>
        </is>
      </c>
      <c r="M180" s="52" t="n">
        <v>196</v>
      </c>
      <c r="N180" s="53" t="n">
        <v>0.8</v>
      </c>
      <c r="O180" s="52" t="inlineStr">
        <is>
          <t>Continua em operação</t>
        </is>
      </c>
      <c r="P180" s="52" t="inlineStr">
        <is>
          <t>EX-A0177</t>
        </is>
      </c>
    </row>
    <row r="181">
      <c r="A181" s="51" t="n">
        <v>46263</v>
      </c>
      <c r="B181" s="52" t="inlineStr">
        <is>
          <t>PC-01</t>
        </is>
      </c>
      <c r="C181" s="52" t="inlineStr">
        <is>
          <t>José</t>
        </is>
      </c>
      <c r="D181" s="53" t="n">
        <v>1712.5</v>
      </c>
      <c r="E181" s="53" t="n">
        <v>1720.9</v>
      </c>
      <c r="F181" s="53" t="n">
        <v>8.4</v>
      </c>
      <c r="G181" s="53" t="n">
        <v>165</v>
      </c>
      <c r="H181" s="52" t="inlineStr">
        <is>
          <t>S-10</t>
        </is>
      </c>
      <c r="I181" s="52" t="n">
        <v>0</v>
      </c>
      <c r="J181" s="52" t="n">
        <v>0</v>
      </c>
      <c r="K181" s="53" t="n">
        <v>19.64</v>
      </c>
      <c r="L181" s="52" t="inlineStr">
        <is>
          <t>L/h</t>
        </is>
      </c>
      <c r="M181" s="52" t="inlineStr"/>
      <c r="N181" s="52" t="inlineStr"/>
      <c r="O181" s="52" t="inlineStr">
        <is>
          <t>Continua em operação</t>
        </is>
      </c>
      <c r="P181" s="52" t="inlineStr">
        <is>
          <t>EX-A0178</t>
        </is>
      </c>
    </row>
    <row r="182">
      <c r="A182" s="51" t="n">
        <v>46263</v>
      </c>
      <c r="B182" s="52" t="inlineStr">
        <is>
          <t>PC-02</t>
        </is>
      </c>
      <c r="C182" s="52" t="inlineStr">
        <is>
          <t>Carlos</t>
        </is>
      </c>
      <c r="D182" s="53" t="n">
        <v>1835.5</v>
      </c>
      <c r="E182" s="53" t="n">
        <v>1845.9</v>
      </c>
      <c r="F182" s="53" t="n">
        <v>10.4</v>
      </c>
      <c r="G182" s="53" t="n">
        <v>191</v>
      </c>
      <c r="H182" s="52" t="inlineStr">
        <is>
          <t>S-10</t>
        </is>
      </c>
      <c r="I182" s="52" t="n">
        <v>0</v>
      </c>
      <c r="J182" s="52" t="n">
        <v>0</v>
      </c>
      <c r="K182" s="53" t="n">
        <v>18.37</v>
      </c>
      <c r="L182" s="52" t="inlineStr">
        <is>
          <t>L/h</t>
        </is>
      </c>
      <c r="M182" s="52" t="inlineStr"/>
      <c r="N182" s="52" t="inlineStr"/>
      <c r="O182" s="52" t="inlineStr">
        <is>
          <t>Continua em operação</t>
        </is>
      </c>
      <c r="P182" s="52" t="inlineStr">
        <is>
          <t>EX-A0179</t>
        </is>
      </c>
    </row>
    <row r="183">
      <c r="A183" s="51" t="n">
        <v>46263</v>
      </c>
      <c r="B183" s="52" t="inlineStr">
        <is>
          <t>RD-01</t>
        </is>
      </c>
      <c r="C183" s="52" t="inlineStr">
        <is>
          <t>Antônio</t>
        </is>
      </c>
      <c r="D183" s="53" t="n">
        <v>1974</v>
      </c>
      <c r="E183" s="53" t="n">
        <v>1983.5</v>
      </c>
      <c r="F183" s="53" t="n">
        <v>9.5</v>
      </c>
      <c r="G183" s="53" t="n">
        <v>111</v>
      </c>
      <c r="H183" s="52" t="inlineStr">
        <is>
          <t>S-10</t>
        </is>
      </c>
      <c r="I183" s="52" t="n">
        <v>0</v>
      </c>
      <c r="J183" s="52" t="n">
        <v>0</v>
      </c>
      <c r="K183" s="53" t="n">
        <v>11.68</v>
      </c>
      <c r="L183" s="52" t="inlineStr">
        <is>
          <t>L/h</t>
        </is>
      </c>
      <c r="M183" s="52" t="inlineStr"/>
      <c r="N183" s="52" t="inlineStr"/>
      <c r="O183" s="52" t="inlineStr">
        <is>
          <t>Continua em operação</t>
        </is>
      </c>
      <c r="P183" s="52" t="inlineStr">
        <is>
          <t>EX-A0180</t>
        </is>
      </c>
    </row>
    <row r="184">
      <c r="A184" s="51" t="n">
        <v>46263</v>
      </c>
      <c r="B184" s="52" t="inlineStr">
        <is>
          <t>MG-01</t>
        </is>
      </c>
      <c r="C184" s="52" t="inlineStr">
        <is>
          <t>Marcos</t>
        </is>
      </c>
      <c r="D184" s="53" t="n">
        <v>2104.9</v>
      </c>
      <c r="E184" s="53" t="n">
        <v>2114.1</v>
      </c>
      <c r="F184" s="53" t="n">
        <v>9.199999999999999</v>
      </c>
      <c r="G184" s="53" t="n">
        <v>109</v>
      </c>
      <c r="H184" s="52" t="inlineStr">
        <is>
          <t>S-10</t>
        </is>
      </c>
      <c r="I184" s="52" t="n">
        <v>0</v>
      </c>
      <c r="J184" s="52" t="n">
        <v>0</v>
      </c>
      <c r="K184" s="53" t="n">
        <v>11.85</v>
      </c>
      <c r="L184" s="52" t="inlineStr">
        <is>
          <t>L/h</t>
        </is>
      </c>
      <c r="M184" s="52" t="inlineStr"/>
      <c r="N184" s="52" t="inlineStr"/>
      <c r="O184" s="52" t="inlineStr">
        <is>
          <t>Continua em operação</t>
        </is>
      </c>
      <c r="P184" s="52" t="inlineStr">
        <is>
          <t>EX-A0181</t>
        </is>
      </c>
    </row>
    <row r="185">
      <c r="A185" s="51" t="n">
        <v>46265</v>
      </c>
      <c r="B185" s="52" t="inlineStr">
        <is>
          <t>CB-01</t>
        </is>
      </c>
      <c r="C185" s="52" t="inlineStr">
        <is>
          <t>Marcos</t>
        </is>
      </c>
      <c r="D185" s="53" t="n">
        <v>1201.5</v>
      </c>
      <c r="E185" s="53" t="n">
        <v>1209.5</v>
      </c>
      <c r="F185" s="53" t="n">
        <v>8</v>
      </c>
      <c r="G185" s="53" t="n">
        <v>91</v>
      </c>
      <c r="H185" s="52" t="inlineStr">
        <is>
          <t>S-500</t>
        </is>
      </c>
      <c r="I185" s="53" t="n">
        <v>3</v>
      </c>
      <c r="J185" s="53" t="n">
        <v>199</v>
      </c>
      <c r="K185" s="53" t="n">
        <v>2.19</v>
      </c>
      <c r="L185" s="52" t="inlineStr">
        <is>
          <t>km/L</t>
        </is>
      </c>
      <c r="M185" s="52" t="n">
        <v>196</v>
      </c>
      <c r="N185" s="53" t="n">
        <v>0.46</v>
      </c>
      <c r="O185" s="52" t="inlineStr">
        <is>
          <t>Continua em operação</t>
        </is>
      </c>
      <c r="P185" s="52" t="inlineStr">
        <is>
          <t>EX-A0182</t>
        </is>
      </c>
    </row>
    <row r="186">
      <c r="A186" s="51" t="n">
        <v>46265</v>
      </c>
      <c r="B186" s="52" t="inlineStr">
        <is>
          <t>CB-11</t>
        </is>
      </c>
      <c r="C186" s="52" t="inlineStr">
        <is>
          <t>Saulo</t>
        </is>
      </c>
      <c r="D186" s="53" t="n">
        <v>1337.2</v>
      </c>
      <c r="E186" s="53" t="n">
        <v>1346.2</v>
      </c>
      <c r="F186" s="53" t="n">
        <v>9</v>
      </c>
      <c r="G186" s="53" t="n">
        <v>121</v>
      </c>
      <c r="H186" s="52" t="inlineStr">
        <is>
          <t>S-10</t>
        </is>
      </c>
      <c r="I186" s="52" t="n">
        <v>0</v>
      </c>
      <c r="J186" s="53" t="n">
        <v>267</v>
      </c>
      <c r="K186" s="53" t="n">
        <v>2.21</v>
      </c>
      <c r="L186" s="52" t="inlineStr">
        <is>
          <t>km/L</t>
        </is>
      </c>
      <c r="M186" s="52" t="n">
        <v>240</v>
      </c>
      <c r="N186" s="53" t="n">
        <v>0.5</v>
      </c>
      <c r="O186" s="52" t="inlineStr">
        <is>
          <t>Continua em operação</t>
        </is>
      </c>
      <c r="P186" s="52" t="inlineStr">
        <is>
          <t>EX-A0183</t>
        </is>
      </c>
    </row>
    <row r="187">
      <c r="A187" s="51" t="n">
        <v>46265</v>
      </c>
      <c r="B187" s="52" t="inlineStr">
        <is>
          <t>CB-17</t>
        </is>
      </c>
      <c r="C187" s="52" t="inlineStr">
        <is>
          <t>José</t>
        </is>
      </c>
      <c r="D187" s="53" t="n">
        <v>1464.1</v>
      </c>
      <c r="E187" s="53" t="n">
        <v>1472.9</v>
      </c>
      <c r="F187" s="53" t="n">
        <v>8.800000000000001</v>
      </c>
      <c r="G187" s="53" t="n">
        <v>104</v>
      </c>
      <c r="H187" s="52" t="inlineStr">
        <is>
          <t>S-10</t>
        </is>
      </c>
      <c r="I187" s="52" t="n">
        <v>0</v>
      </c>
      <c r="J187" s="53" t="n">
        <v>209</v>
      </c>
      <c r="K187" s="53" t="n">
        <v>2.01</v>
      </c>
      <c r="L187" s="52" t="inlineStr">
        <is>
          <t>km/L</t>
        </is>
      </c>
      <c r="M187" s="52" t="n">
        <v>224</v>
      </c>
      <c r="N187" s="53" t="n">
        <v>0.46</v>
      </c>
      <c r="O187" s="52" t="inlineStr">
        <is>
          <t>Continua em operação</t>
        </is>
      </c>
      <c r="P187" s="52" t="inlineStr">
        <is>
          <t>EX-A0184</t>
        </is>
      </c>
    </row>
    <row r="188">
      <c r="A188" s="51" t="n">
        <v>46265</v>
      </c>
      <c r="B188" s="52" t="inlineStr">
        <is>
          <t>PC-01</t>
        </is>
      </c>
      <c r="C188" s="52" t="inlineStr">
        <is>
          <t>Antônio</t>
        </is>
      </c>
      <c r="D188" s="53" t="n">
        <v>1720.9</v>
      </c>
      <c r="E188" s="53" t="n">
        <v>1729.4</v>
      </c>
      <c r="F188" s="53" t="n">
        <v>8.5</v>
      </c>
      <c r="G188" s="53" t="n">
        <v>152</v>
      </c>
      <c r="H188" s="52" t="inlineStr">
        <is>
          <t>S-10</t>
        </is>
      </c>
      <c r="I188" s="52" t="n">
        <v>0</v>
      </c>
      <c r="J188" s="52" t="n">
        <v>0</v>
      </c>
      <c r="K188" s="53" t="n">
        <v>17.88</v>
      </c>
      <c r="L188" s="52" t="inlineStr">
        <is>
          <t>L/h</t>
        </is>
      </c>
      <c r="M188" s="52" t="inlineStr"/>
      <c r="N188" s="52" t="inlineStr"/>
      <c r="O188" s="52" t="inlineStr">
        <is>
          <t>Continua em operação</t>
        </is>
      </c>
      <c r="P188" s="52" t="inlineStr">
        <is>
          <t>EX-A0185</t>
        </is>
      </c>
    </row>
    <row r="189">
      <c r="A189" s="51" t="n">
        <v>46265</v>
      </c>
      <c r="B189" s="52" t="inlineStr">
        <is>
          <t>PC-02</t>
        </is>
      </c>
      <c r="C189" s="52" t="inlineStr">
        <is>
          <t>Marcos</t>
        </is>
      </c>
      <c r="D189" s="53" t="n">
        <v>1845.9</v>
      </c>
      <c r="E189" s="53" t="n">
        <v>1854.1</v>
      </c>
      <c r="F189" s="53" t="n">
        <v>8.199999999999999</v>
      </c>
      <c r="G189" s="53" t="n">
        <v>151</v>
      </c>
      <c r="H189" s="52" t="inlineStr">
        <is>
          <t>S-10</t>
        </is>
      </c>
      <c r="I189" s="52" t="n">
        <v>0</v>
      </c>
      <c r="J189" s="52" t="n">
        <v>0</v>
      </c>
      <c r="K189" s="53" t="n">
        <v>18.41</v>
      </c>
      <c r="L189" s="52" t="inlineStr">
        <is>
          <t>L/h</t>
        </is>
      </c>
      <c r="M189" s="52" t="inlineStr"/>
      <c r="N189" s="52" t="inlineStr"/>
      <c r="O189" s="52" t="inlineStr">
        <is>
          <t>Continua em operação</t>
        </is>
      </c>
      <c r="P189" s="52" t="inlineStr">
        <is>
          <t>EX-A0186</t>
        </is>
      </c>
    </row>
    <row r="190">
      <c r="A190" s="51" t="n">
        <v>46265</v>
      </c>
      <c r="B190" s="52" t="inlineStr">
        <is>
          <t>RD-01</t>
        </is>
      </c>
      <c r="C190" s="52" t="inlineStr">
        <is>
          <t>Saulo</t>
        </is>
      </c>
      <c r="D190" s="53" t="n">
        <v>1983.5</v>
      </c>
      <c r="E190" s="53" t="n">
        <v>1992.7</v>
      </c>
      <c r="F190" s="53" t="n">
        <v>9.199999999999999</v>
      </c>
      <c r="G190" s="53" t="n">
        <v>116</v>
      </c>
      <c r="H190" s="52" t="inlineStr">
        <is>
          <t>S-10</t>
        </is>
      </c>
      <c r="I190" s="52" t="n">
        <v>0</v>
      </c>
      <c r="J190" s="52" t="n">
        <v>0</v>
      </c>
      <c r="K190" s="53" t="n">
        <v>12.61</v>
      </c>
      <c r="L190" s="52" t="inlineStr">
        <is>
          <t>L/h</t>
        </is>
      </c>
      <c r="M190" s="52" t="inlineStr"/>
      <c r="N190" s="52" t="inlineStr"/>
      <c r="O190" s="52" t="inlineStr">
        <is>
          <t>Continua em operação</t>
        </is>
      </c>
      <c r="P190" s="52" t="inlineStr">
        <is>
          <t>EX-A0187</t>
        </is>
      </c>
    </row>
    <row r="191">
      <c r="A191" s="51" t="n">
        <v>46265</v>
      </c>
      <c r="B191" s="52" t="inlineStr">
        <is>
          <t>MG-01</t>
        </is>
      </c>
      <c r="C191" s="52" t="inlineStr">
        <is>
          <t>José</t>
        </is>
      </c>
      <c r="D191" s="53" t="n">
        <v>2114.1</v>
      </c>
      <c r="E191" s="53" t="n">
        <v>2123.8</v>
      </c>
      <c r="F191" s="53" t="n">
        <v>9.699999999999999</v>
      </c>
      <c r="G191" s="53" t="n">
        <v>115</v>
      </c>
      <c r="H191" s="52" t="inlineStr">
        <is>
          <t>S-10</t>
        </is>
      </c>
      <c r="I191" s="52" t="n">
        <v>0</v>
      </c>
      <c r="J191" s="52" t="n">
        <v>0</v>
      </c>
      <c r="K191" s="53" t="n">
        <v>11.86</v>
      </c>
      <c r="L191" s="52" t="inlineStr">
        <is>
          <t>L/h</t>
        </is>
      </c>
      <c r="M191" s="52" t="inlineStr"/>
      <c r="N191" s="52" t="inlineStr"/>
      <c r="O191" s="52" t="inlineStr">
        <is>
          <t>Continua em operação</t>
        </is>
      </c>
      <c r="P191" s="52" t="inlineStr">
        <is>
          <t>EX-A0188</t>
        </is>
      </c>
    </row>
    <row r="192">
      <c r="A192" s="51" t="n">
        <v>46266</v>
      </c>
      <c r="B192" s="52" t="inlineStr">
        <is>
          <t>CB-01</t>
        </is>
      </c>
      <c r="C192" s="52" t="inlineStr">
        <is>
          <t>Saulo</t>
        </is>
      </c>
      <c r="D192" s="53" t="n">
        <v>1209.5</v>
      </c>
      <c r="E192" s="53" t="n">
        <v>1218.2</v>
      </c>
      <c r="F192" s="53" t="n">
        <v>8.699999999999999</v>
      </c>
      <c r="G192" s="53" t="n">
        <v>112</v>
      </c>
      <c r="H192" s="52" t="inlineStr">
        <is>
          <t>S-500</t>
        </is>
      </c>
      <c r="I192" s="53" t="n">
        <v>3</v>
      </c>
      <c r="J192" s="53" t="n">
        <v>241</v>
      </c>
      <c r="K192" s="53" t="n">
        <v>2.15</v>
      </c>
      <c r="L192" s="52" t="inlineStr">
        <is>
          <t>km/L</t>
        </is>
      </c>
      <c r="M192" s="52" t="n">
        <v>240</v>
      </c>
      <c r="N192" s="53" t="n">
        <v>0.47</v>
      </c>
      <c r="O192" s="52" t="inlineStr">
        <is>
          <t>Continua em operação</t>
        </is>
      </c>
      <c r="P192" s="52" t="inlineStr">
        <is>
          <t>EX-A0189</t>
        </is>
      </c>
    </row>
    <row r="193">
      <c r="A193" s="51" t="n">
        <v>46266</v>
      </c>
      <c r="B193" s="52" t="inlineStr">
        <is>
          <t>CB-11</t>
        </is>
      </c>
      <c r="C193" s="52" t="inlineStr">
        <is>
          <t>José</t>
        </is>
      </c>
      <c r="D193" s="53" t="n">
        <v>1346.2</v>
      </c>
      <c r="E193" s="53" t="n">
        <v>1355.2</v>
      </c>
      <c r="F193" s="53" t="n">
        <v>9</v>
      </c>
      <c r="G193" s="53" t="n">
        <v>137</v>
      </c>
      <c r="H193" s="52" t="inlineStr">
        <is>
          <t>S-10</t>
        </is>
      </c>
      <c r="I193" s="52" t="n">
        <v>0</v>
      </c>
      <c r="J193" s="53" t="n">
        <v>289</v>
      </c>
      <c r="K193" s="53" t="n">
        <v>2.11</v>
      </c>
      <c r="L193" s="52" t="inlineStr">
        <is>
          <t>km/L</t>
        </is>
      </c>
      <c r="M193" s="52" t="n">
        <v>280</v>
      </c>
      <c r="N193" s="53" t="n">
        <v>0.49</v>
      </c>
      <c r="O193" s="52" t="inlineStr">
        <is>
          <t>Continua em operação</t>
        </is>
      </c>
      <c r="P193" s="52" t="inlineStr">
        <is>
          <t>EX-A0190</t>
        </is>
      </c>
    </row>
    <row r="194">
      <c r="A194" s="51" t="n">
        <v>46266</v>
      </c>
      <c r="B194" s="52" t="inlineStr">
        <is>
          <t>CB-17</t>
        </is>
      </c>
      <c r="C194" s="52" t="inlineStr">
        <is>
          <t>Carlos</t>
        </is>
      </c>
      <c r="D194" s="53" t="n">
        <v>1472.9</v>
      </c>
      <c r="E194" s="53" t="n">
        <v>1482.8</v>
      </c>
      <c r="F194" s="53" t="n">
        <v>9.9</v>
      </c>
      <c r="G194" s="53" t="n">
        <v>105</v>
      </c>
      <c r="H194" s="52" t="inlineStr">
        <is>
          <t>S-10</t>
        </is>
      </c>
      <c r="I194" s="52" t="n">
        <v>0</v>
      </c>
      <c r="J194" s="53" t="n">
        <v>215</v>
      </c>
      <c r="K194" s="53" t="n">
        <v>2.05</v>
      </c>
      <c r="L194" s="52" t="inlineStr">
        <is>
          <t>km/L</t>
        </is>
      </c>
      <c r="M194" s="52" t="n">
        <v>224</v>
      </c>
      <c r="N194" s="53" t="n">
        <v>0.47</v>
      </c>
      <c r="O194" s="52" t="inlineStr">
        <is>
          <t>Continua em operação</t>
        </is>
      </c>
      <c r="P194" s="52" t="inlineStr">
        <is>
          <t>EX-A0191</t>
        </is>
      </c>
    </row>
    <row r="195">
      <c r="A195" s="51" t="n">
        <v>46266</v>
      </c>
      <c r="B195" s="52" t="inlineStr">
        <is>
          <t>CB-22</t>
        </is>
      </c>
      <c r="C195" s="52" t="inlineStr">
        <is>
          <t>Antônio</t>
        </is>
      </c>
      <c r="D195" s="53" t="n">
        <v>1600.5</v>
      </c>
      <c r="E195" s="53" t="n">
        <v>1609.2</v>
      </c>
      <c r="F195" s="53" t="n">
        <v>8.699999999999999</v>
      </c>
      <c r="G195" s="53" t="n">
        <v>304</v>
      </c>
      <c r="H195" s="52" t="inlineStr">
        <is>
          <t>S-10</t>
        </is>
      </c>
      <c r="I195" s="53" t="n">
        <v>9</v>
      </c>
      <c r="J195" s="53" t="n">
        <v>472</v>
      </c>
      <c r="K195" s="53" t="n">
        <v>1.55</v>
      </c>
      <c r="L195" s="52" t="inlineStr">
        <is>
          <t>km/L</t>
        </is>
      </c>
      <c r="M195" s="52" t="n">
        <v>360</v>
      </c>
      <c r="N195" s="53" t="n">
        <v>0.84</v>
      </c>
      <c r="O195" s="52" t="inlineStr">
        <is>
          <t>Continua em operação</t>
        </is>
      </c>
      <c r="P195" s="52" t="inlineStr">
        <is>
          <t>EX-A0192</t>
        </is>
      </c>
    </row>
    <row r="196">
      <c r="A196" s="51" t="n">
        <v>46266</v>
      </c>
      <c r="B196" s="52" t="inlineStr">
        <is>
          <t>PC-01</t>
        </is>
      </c>
      <c r="C196" s="52" t="inlineStr">
        <is>
          <t>Marcos</t>
        </is>
      </c>
      <c r="D196" s="53" t="n">
        <v>1729.4</v>
      </c>
      <c r="E196" s="53" t="n">
        <v>1739.5</v>
      </c>
      <c r="F196" s="53" t="n">
        <v>10.1</v>
      </c>
      <c r="G196" s="53" t="n">
        <v>179</v>
      </c>
      <c r="H196" s="52" t="inlineStr">
        <is>
          <t>S-10</t>
        </is>
      </c>
      <c r="I196" s="52" t="n">
        <v>0</v>
      </c>
      <c r="J196" s="52" t="n">
        <v>0</v>
      </c>
      <c r="K196" s="53" t="n">
        <v>17.72</v>
      </c>
      <c r="L196" s="52" t="inlineStr">
        <is>
          <t>L/h</t>
        </is>
      </c>
      <c r="M196" s="52" t="inlineStr"/>
      <c r="N196" s="52" t="inlineStr"/>
      <c r="O196" s="52" t="inlineStr">
        <is>
          <t>Continua em operação</t>
        </is>
      </c>
      <c r="P196" s="52" t="inlineStr">
        <is>
          <t>EX-A0193</t>
        </is>
      </c>
    </row>
    <row r="197">
      <c r="A197" s="51" t="n">
        <v>46266</v>
      </c>
      <c r="B197" s="52" t="inlineStr">
        <is>
          <t>PC-02</t>
        </is>
      </c>
      <c r="C197" s="52" t="inlineStr">
        <is>
          <t>Saulo</t>
        </is>
      </c>
      <c r="D197" s="53" t="n">
        <v>1854.1</v>
      </c>
      <c r="E197" s="53" t="n">
        <v>1861.7</v>
      </c>
      <c r="F197" s="53" t="n">
        <v>7.6</v>
      </c>
      <c r="G197" s="53" t="n">
        <v>149</v>
      </c>
      <c r="H197" s="52" t="inlineStr">
        <is>
          <t>S-10</t>
        </is>
      </c>
      <c r="I197" s="52" t="n">
        <v>0</v>
      </c>
      <c r="J197" s="52" t="n">
        <v>0</v>
      </c>
      <c r="K197" s="53" t="n">
        <v>19.61</v>
      </c>
      <c r="L197" s="52" t="inlineStr">
        <is>
          <t>L/h</t>
        </is>
      </c>
      <c r="M197" s="52" t="inlineStr"/>
      <c r="N197" s="52" t="inlineStr"/>
      <c r="O197" s="52" t="inlineStr">
        <is>
          <t>Continua em operação</t>
        </is>
      </c>
      <c r="P197" s="52" t="inlineStr">
        <is>
          <t>EX-A0194</t>
        </is>
      </c>
    </row>
    <row r="198">
      <c r="A198" s="51" t="n">
        <v>46266</v>
      </c>
      <c r="B198" s="52" t="inlineStr">
        <is>
          <t>RD-01</t>
        </is>
      </c>
      <c r="C198" s="52" t="inlineStr">
        <is>
          <t>José</t>
        </is>
      </c>
      <c r="D198" s="53" t="n">
        <v>1992.7</v>
      </c>
      <c r="E198" s="53" t="n">
        <v>2002.9</v>
      </c>
      <c r="F198" s="53" t="n">
        <v>10.2</v>
      </c>
      <c r="G198" s="53" t="n">
        <v>122</v>
      </c>
      <c r="H198" s="52" t="inlineStr">
        <is>
          <t>S-10</t>
        </is>
      </c>
      <c r="I198" s="52" t="n">
        <v>0</v>
      </c>
      <c r="J198" s="52" t="n">
        <v>0</v>
      </c>
      <c r="K198" s="53" t="n">
        <v>11.96</v>
      </c>
      <c r="L198" s="52" t="inlineStr">
        <is>
          <t>L/h</t>
        </is>
      </c>
      <c r="M198" s="52" t="inlineStr"/>
      <c r="N198" s="52" t="inlineStr"/>
      <c r="O198" s="52" t="inlineStr">
        <is>
          <t>Continua em operação</t>
        </is>
      </c>
      <c r="P198" s="52" t="inlineStr">
        <is>
          <t>EX-A0195</t>
        </is>
      </c>
    </row>
    <row r="199">
      <c r="A199" s="51" t="n">
        <v>46266</v>
      </c>
      <c r="B199" s="52" t="inlineStr">
        <is>
          <t>MG-01</t>
        </is>
      </c>
      <c r="C199" s="52" t="inlineStr">
        <is>
          <t>Carlos</t>
        </is>
      </c>
      <c r="D199" s="53" t="n">
        <v>2123.8</v>
      </c>
      <c r="E199" s="53" t="n">
        <v>2133.1</v>
      </c>
      <c r="F199" s="53" t="n">
        <v>9.300000000000001</v>
      </c>
      <c r="G199" s="53" t="n">
        <v>104</v>
      </c>
      <c r="H199" s="52" t="inlineStr">
        <is>
          <t>S-10</t>
        </is>
      </c>
      <c r="I199" s="52" t="n">
        <v>0</v>
      </c>
      <c r="J199" s="52" t="n">
        <v>0</v>
      </c>
      <c r="K199" s="53" t="n">
        <v>11.18</v>
      </c>
      <c r="L199" s="52" t="inlineStr">
        <is>
          <t>L/h</t>
        </is>
      </c>
      <c r="M199" s="52" t="inlineStr"/>
      <c r="N199" s="52" t="inlineStr"/>
      <c r="O199" s="52" t="inlineStr">
        <is>
          <t>Continua em operação</t>
        </is>
      </c>
      <c r="P199" s="52" t="inlineStr">
        <is>
          <t>EX-A0196</t>
        </is>
      </c>
    </row>
    <row r="200">
      <c r="A200" s="51" t="n">
        <v>46267</v>
      </c>
      <c r="B200" s="52" t="inlineStr">
        <is>
          <t>CB-01</t>
        </is>
      </c>
      <c r="C200" s="52" t="inlineStr">
        <is>
          <t>José</t>
        </is>
      </c>
      <c r="D200" s="53" t="n">
        <v>1218.2</v>
      </c>
      <c r="E200" s="53" t="n">
        <v>1226.9</v>
      </c>
      <c r="F200" s="53" t="n">
        <v>8.699999999999999</v>
      </c>
      <c r="G200" s="53" t="n">
        <v>168</v>
      </c>
      <c r="H200" s="52" t="inlineStr">
        <is>
          <t>S-500</t>
        </is>
      </c>
      <c r="I200" s="53" t="n">
        <v>5</v>
      </c>
      <c r="J200" s="53" t="n">
        <v>339</v>
      </c>
      <c r="K200" s="53" t="n">
        <v>2.02</v>
      </c>
      <c r="L200" s="52" t="inlineStr">
        <is>
          <t>km/L</t>
        </is>
      </c>
      <c r="M200" s="52" t="n">
        <v>360</v>
      </c>
      <c r="N200" s="53" t="n">
        <v>0.47</v>
      </c>
      <c r="O200" s="52" t="inlineStr">
        <is>
          <t>Continua em operação</t>
        </is>
      </c>
      <c r="P200" s="52" t="inlineStr">
        <is>
          <t>EX-A0197</t>
        </is>
      </c>
    </row>
    <row r="201">
      <c r="A201" s="51" t="n">
        <v>46267</v>
      </c>
      <c r="B201" s="52" t="inlineStr">
        <is>
          <t>CB-11</t>
        </is>
      </c>
      <c r="C201" s="52" t="inlineStr">
        <is>
          <t>Carlos</t>
        </is>
      </c>
      <c r="D201" s="53" t="n">
        <v>1355.2</v>
      </c>
      <c r="E201" s="53" t="n">
        <v>1363.2</v>
      </c>
      <c r="F201" s="53" t="n">
        <v>8</v>
      </c>
      <c r="G201" s="53" t="n">
        <v>94</v>
      </c>
      <c r="H201" s="52" t="inlineStr">
        <is>
          <t>S-10</t>
        </is>
      </c>
      <c r="I201" s="52" t="n">
        <v>0</v>
      </c>
      <c r="J201" s="53" t="n">
        <v>204</v>
      </c>
      <c r="K201" s="53" t="n">
        <v>2.17</v>
      </c>
      <c r="L201" s="52" t="inlineStr">
        <is>
          <t>km/L</t>
        </is>
      </c>
      <c r="M201" s="52" t="n">
        <v>192</v>
      </c>
      <c r="N201" s="53" t="n">
        <v>0.49</v>
      </c>
      <c r="O201" s="52" t="inlineStr">
        <is>
          <t>Continua em operação</t>
        </is>
      </c>
      <c r="P201" s="52" t="inlineStr">
        <is>
          <t>EX-A0198</t>
        </is>
      </c>
    </row>
    <row r="202">
      <c r="A202" s="51" t="n">
        <v>46267</v>
      </c>
      <c r="B202" s="52" t="inlineStr">
        <is>
          <t>CB-17</t>
        </is>
      </c>
      <c r="C202" s="52" t="inlineStr">
        <is>
          <t>Antônio</t>
        </is>
      </c>
      <c r="D202" s="53" t="n">
        <v>1482.8</v>
      </c>
      <c r="E202" s="53" t="n">
        <v>1493</v>
      </c>
      <c r="F202" s="53" t="n">
        <v>10.2</v>
      </c>
      <c r="G202" s="53" t="n">
        <v>95</v>
      </c>
      <c r="H202" s="52" t="inlineStr">
        <is>
          <t>S-10</t>
        </is>
      </c>
      <c r="I202" s="52" t="n">
        <v>0</v>
      </c>
      <c r="J202" s="53" t="n">
        <v>190</v>
      </c>
      <c r="K202" s="53" t="n">
        <v>2</v>
      </c>
      <c r="L202" s="52" t="inlineStr">
        <is>
          <t>km/L</t>
        </is>
      </c>
      <c r="M202" s="52" t="n">
        <v>192</v>
      </c>
      <c r="N202" s="53" t="n">
        <v>0.49</v>
      </c>
      <c r="O202" s="52" t="inlineStr">
        <is>
          <t>Continua em operação</t>
        </is>
      </c>
      <c r="P202" s="52" t="inlineStr">
        <is>
          <t>EX-A0199</t>
        </is>
      </c>
    </row>
    <row r="203">
      <c r="A203" s="51" t="n">
        <v>46267</v>
      </c>
      <c r="B203" s="52" t="inlineStr">
        <is>
          <t>CB-22</t>
        </is>
      </c>
      <c r="C203" s="52" t="inlineStr">
        <is>
          <t>Marcos</t>
        </is>
      </c>
      <c r="D203" s="53" t="n">
        <v>1609.2</v>
      </c>
      <c r="E203" s="53" t="n">
        <v>1617.1</v>
      </c>
      <c r="F203" s="53" t="n">
        <v>7.9</v>
      </c>
      <c r="G203" s="53" t="n">
        <v>131</v>
      </c>
      <c r="H203" s="52" t="inlineStr">
        <is>
          <t>S-10</t>
        </is>
      </c>
      <c r="I203" s="53" t="n">
        <v>4</v>
      </c>
      <c r="J203" s="53" t="n">
        <v>206</v>
      </c>
      <c r="K203" s="53" t="n">
        <v>1.57</v>
      </c>
      <c r="L203" s="52" t="inlineStr">
        <is>
          <t>km/L</t>
        </is>
      </c>
      <c r="M203" s="52" t="n">
        <v>160</v>
      </c>
      <c r="N203" s="53" t="n">
        <v>0.82</v>
      </c>
      <c r="O203" s="52" t="inlineStr">
        <is>
          <t>Continua em operação</t>
        </is>
      </c>
      <c r="P203" s="52" t="inlineStr">
        <is>
          <t>EX-A0200</t>
        </is>
      </c>
    </row>
    <row r="204">
      <c r="A204" s="51" t="n">
        <v>46267</v>
      </c>
      <c r="B204" s="52" t="inlineStr">
        <is>
          <t>PC-01</t>
        </is>
      </c>
      <c r="C204" s="52" t="inlineStr">
        <is>
          <t>Saulo</t>
        </is>
      </c>
      <c r="D204" s="53" t="n">
        <v>1739.5</v>
      </c>
      <c r="E204" s="53" t="n">
        <v>1748.9</v>
      </c>
      <c r="F204" s="53" t="n">
        <v>9.4</v>
      </c>
      <c r="G204" s="53" t="n">
        <v>179</v>
      </c>
      <c r="H204" s="52" t="inlineStr">
        <is>
          <t>S-10</t>
        </is>
      </c>
      <c r="I204" s="52" t="n">
        <v>0</v>
      </c>
      <c r="J204" s="52" t="n">
        <v>0</v>
      </c>
      <c r="K204" s="53" t="n">
        <v>19.04</v>
      </c>
      <c r="L204" s="52" t="inlineStr">
        <is>
          <t>L/h</t>
        </is>
      </c>
      <c r="M204" s="52" t="inlineStr"/>
      <c r="N204" s="52" t="inlineStr"/>
      <c r="O204" s="52" t="inlineStr">
        <is>
          <t>Continua em operação</t>
        </is>
      </c>
      <c r="P204" s="52" t="inlineStr">
        <is>
          <t>EX-A0201</t>
        </is>
      </c>
    </row>
    <row r="205">
      <c r="A205" s="51" t="n">
        <v>46267</v>
      </c>
      <c r="B205" s="52" t="inlineStr">
        <is>
          <t>PC-02</t>
        </is>
      </c>
      <c r="C205" s="52" t="inlineStr">
        <is>
          <t>José</t>
        </is>
      </c>
      <c r="D205" s="53" t="n">
        <v>1861.7</v>
      </c>
      <c r="E205" s="53" t="n">
        <v>1870.5</v>
      </c>
      <c r="F205" s="53" t="n">
        <v>8.800000000000001</v>
      </c>
      <c r="G205" s="53" t="n">
        <v>173</v>
      </c>
      <c r="H205" s="52" t="inlineStr">
        <is>
          <t>S-10</t>
        </is>
      </c>
      <c r="I205" s="52" t="n">
        <v>0</v>
      </c>
      <c r="J205" s="52" t="n">
        <v>0</v>
      </c>
      <c r="K205" s="53" t="n">
        <v>19.66</v>
      </c>
      <c r="L205" s="52" t="inlineStr">
        <is>
          <t>L/h</t>
        </is>
      </c>
      <c r="M205" s="52" t="inlineStr"/>
      <c r="N205" s="52" t="inlineStr"/>
      <c r="O205" s="52" t="inlineStr">
        <is>
          <t>Continua em operação</t>
        </is>
      </c>
      <c r="P205" s="52" t="inlineStr">
        <is>
          <t>EX-A0202</t>
        </is>
      </c>
    </row>
    <row r="206">
      <c r="A206" s="51" t="n">
        <v>46267</v>
      </c>
      <c r="B206" s="52" t="inlineStr">
        <is>
          <t>RD-01</t>
        </is>
      </c>
      <c r="C206" s="52" t="inlineStr">
        <is>
          <t>Carlos</t>
        </is>
      </c>
      <c r="D206" s="53" t="n">
        <v>2002.9</v>
      </c>
      <c r="E206" s="53" t="n">
        <v>2010.7</v>
      </c>
      <c r="F206" s="53" t="n">
        <v>7.8</v>
      </c>
      <c r="G206" s="53" t="n">
        <v>91</v>
      </c>
      <c r="H206" s="52" t="inlineStr">
        <is>
          <t>S-10</t>
        </is>
      </c>
      <c r="I206" s="52" t="n">
        <v>0</v>
      </c>
      <c r="J206" s="52" t="n">
        <v>0</v>
      </c>
      <c r="K206" s="53" t="n">
        <v>11.67</v>
      </c>
      <c r="L206" s="52" t="inlineStr">
        <is>
          <t>L/h</t>
        </is>
      </c>
      <c r="M206" s="52" t="inlineStr"/>
      <c r="N206" s="52" t="inlineStr"/>
      <c r="O206" s="52" t="inlineStr">
        <is>
          <t>Continua em operação</t>
        </is>
      </c>
      <c r="P206" s="52" t="inlineStr">
        <is>
          <t>EX-A0203</t>
        </is>
      </c>
    </row>
    <row r="207">
      <c r="A207" s="51" t="n">
        <v>46267</v>
      </c>
      <c r="B207" s="52" t="inlineStr">
        <is>
          <t>MG-01</t>
        </is>
      </c>
      <c r="C207" s="52" t="inlineStr">
        <is>
          <t>Antônio</t>
        </is>
      </c>
      <c r="D207" s="53" t="n">
        <v>2133.1</v>
      </c>
      <c r="E207" s="53" t="n">
        <v>2143.4</v>
      </c>
      <c r="F207" s="53" t="n">
        <v>10.3</v>
      </c>
      <c r="G207" s="53" t="n">
        <v>118</v>
      </c>
      <c r="H207" s="52" t="inlineStr">
        <is>
          <t>S-10</t>
        </is>
      </c>
      <c r="I207" s="52" t="n">
        <v>0</v>
      </c>
      <c r="J207" s="52" t="n">
        <v>0</v>
      </c>
      <c r="K207" s="53" t="n">
        <v>11.46</v>
      </c>
      <c r="L207" s="52" t="inlineStr">
        <is>
          <t>L/h</t>
        </is>
      </c>
      <c r="M207" s="52" t="inlineStr"/>
      <c r="N207" s="52" t="inlineStr"/>
      <c r="O207" s="52" t="inlineStr">
        <is>
          <t>Continua em operação</t>
        </is>
      </c>
      <c r="P207" s="52" t="inlineStr">
        <is>
          <t>EX-A0204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4A3B8"/>
    <outlinePr summaryBelow="1" summaryRight="1"/>
    <pageSetUpPr/>
  </sheetPr>
  <dimension ref="A1:J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9" customWidth="1" min="4" max="4"/>
    <col width="9" customWidth="1" min="5" max="5"/>
    <col width="9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>
      <c r="A1" s="50" t="inlineStr">
        <is>
          <t>Viagens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Data</t>
        </is>
      </c>
      <c r="B3" s="30" t="inlineStr">
        <is>
          <t>Equipamento</t>
        </is>
      </c>
      <c r="C3" s="30" t="inlineStr">
        <is>
          <t>Operador</t>
        </is>
      </c>
      <c r="D3" s="30" t="inlineStr">
        <is>
          <t>Origem</t>
        </is>
      </c>
      <c r="E3" s="30" t="inlineStr">
        <is>
          <t>Destino</t>
        </is>
      </c>
      <c r="F3" s="30" t="inlineStr">
        <is>
          <t>Viagens</t>
        </is>
      </c>
      <c r="G3" s="30" t="inlineStr">
        <is>
          <t>Material</t>
        </is>
      </c>
      <c r="H3" s="30" t="inlineStr">
        <is>
          <t>Peso/viagem (t)</t>
        </is>
      </c>
      <c r="I3" s="30" t="inlineStr">
        <is>
          <t>Peso total (t)</t>
        </is>
      </c>
      <c r="J3" s="30" t="inlineStr">
        <is>
          <t>_id</t>
        </is>
      </c>
    </row>
    <row r="4">
      <c r="A4" s="51" t="n">
        <v>46238</v>
      </c>
      <c r="B4" s="52" t="inlineStr">
        <is>
          <t>CB-01</t>
        </is>
      </c>
      <c r="C4" s="52" t="inlineStr">
        <is>
          <t>Carlos</t>
        </is>
      </c>
      <c r="D4" s="52" t="inlineStr">
        <is>
          <t>01</t>
        </is>
      </c>
      <c r="E4" s="52" t="inlineStr">
        <is>
          <t>02</t>
        </is>
      </c>
      <c r="F4" s="52" t="n">
        <v>7</v>
      </c>
      <c r="G4" s="52" t="inlineStr">
        <is>
          <t>Rejeito</t>
        </is>
      </c>
      <c r="H4" s="52" t="n">
        <v>30</v>
      </c>
      <c r="I4" s="52" t="n">
        <v>210</v>
      </c>
      <c r="J4" s="52" t="inlineStr">
        <is>
          <t>EX-V0001</t>
        </is>
      </c>
    </row>
    <row r="5">
      <c r="A5" s="51" t="n">
        <v>46238</v>
      </c>
      <c r="B5" s="52" t="inlineStr">
        <is>
          <t>CB-11</t>
        </is>
      </c>
      <c r="C5" s="52" t="inlineStr">
        <is>
          <t>Antônio</t>
        </is>
      </c>
      <c r="D5" s="52" t="inlineStr">
        <is>
          <t>01</t>
        </is>
      </c>
      <c r="E5" s="52" t="inlineStr">
        <is>
          <t>02</t>
        </is>
      </c>
      <c r="F5" s="52" t="n">
        <v>10</v>
      </c>
      <c r="G5" s="52" t="inlineStr">
        <is>
          <t>Minério</t>
        </is>
      </c>
      <c r="H5" s="52" t="n">
        <v>32</v>
      </c>
      <c r="I5" s="52" t="n">
        <v>320</v>
      </c>
      <c r="J5" s="52" t="inlineStr">
        <is>
          <t>EX-V0002</t>
        </is>
      </c>
    </row>
    <row r="6">
      <c r="A6" s="51" t="n">
        <v>46238</v>
      </c>
      <c r="B6" s="52" t="inlineStr">
        <is>
          <t>CB-17</t>
        </is>
      </c>
      <c r="C6" s="52" t="inlineStr">
        <is>
          <t>Marcos</t>
        </is>
      </c>
      <c r="D6" s="52" t="inlineStr">
        <is>
          <t>01</t>
        </is>
      </c>
      <c r="E6" s="52" t="inlineStr">
        <is>
          <t>02</t>
        </is>
      </c>
      <c r="F6" s="52" t="n">
        <v>11</v>
      </c>
      <c r="G6" s="52" t="inlineStr">
        <is>
          <t>Estéril</t>
        </is>
      </c>
      <c r="H6" s="52" t="n">
        <v>30</v>
      </c>
      <c r="I6" s="52" t="n">
        <v>330</v>
      </c>
      <c r="J6" s="52" t="inlineStr">
        <is>
          <t>EX-V0003</t>
        </is>
      </c>
    </row>
    <row r="7">
      <c r="A7" s="51" t="n">
        <v>46238</v>
      </c>
      <c r="B7" s="52" t="inlineStr">
        <is>
          <t>CB-22</t>
        </is>
      </c>
      <c r="C7" s="52" t="inlineStr">
        <is>
          <t>Saulo</t>
        </is>
      </c>
      <c r="D7" s="52" t="inlineStr">
        <is>
          <t>01</t>
        </is>
      </c>
      <c r="E7" s="52" t="inlineStr">
        <is>
          <t>02</t>
        </is>
      </c>
      <c r="F7" s="52" t="n">
        <v>6</v>
      </c>
      <c r="G7" s="52" t="inlineStr">
        <is>
          <t>Rejeito</t>
        </is>
      </c>
      <c r="H7" s="52" t="n">
        <v>28</v>
      </c>
      <c r="I7" s="52" t="n">
        <v>168</v>
      </c>
      <c r="J7" s="52" t="inlineStr">
        <is>
          <t>EX-V0004</t>
        </is>
      </c>
    </row>
    <row r="8">
      <c r="A8" s="51" t="n">
        <v>46239</v>
      </c>
      <c r="B8" s="52" t="inlineStr">
        <is>
          <t>CB-01</t>
        </is>
      </c>
      <c r="C8" s="52" t="inlineStr">
        <is>
          <t>Antônio</t>
        </is>
      </c>
      <c r="D8" s="52" t="inlineStr">
        <is>
          <t>01</t>
        </is>
      </c>
      <c r="E8" s="52" t="inlineStr">
        <is>
          <t>02</t>
        </is>
      </c>
      <c r="F8" s="52" t="n">
        <v>7</v>
      </c>
      <c r="G8" s="52" t="inlineStr">
        <is>
          <t>Minério</t>
        </is>
      </c>
      <c r="H8" s="52" t="n">
        <v>28</v>
      </c>
      <c r="I8" s="52" t="n">
        <v>196</v>
      </c>
      <c r="J8" s="52" t="inlineStr">
        <is>
          <t>EX-V0009</t>
        </is>
      </c>
    </row>
    <row r="9">
      <c r="A9" s="51" t="n">
        <v>46239</v>
      </c>
      <c r="B9" s="52" t="inlineStr">
        <is>
          <t>CB-11</t>
        </is>
      </c>
      <c r="C9" s="52" t="inlineStr">
        <is>
          <t>Marcos</t>
        </is>
      </c>
      <c r="D9" s="52" t="inlineStr">
        <is>
          <t>01</t>
        </is>
      </c>
      <c r="E9" s="52" t="inlineStr">
        <is>
          <t>02</t>
        </is>
      </c>
      <c r="F9" s="52" t="n">
        <v>6</v>
      </c>
      <c r="G9" s="52" t="inlineStr">
        <is>
          <t>Estéril</t>
        </is>
      </c>
      <c r="H9" s="52" t="n">
        <v>32</v>
      </c>
      <c r="I9" s="52" t="n">
        <v>192</v>
      </c>
      <c r="J9" s="52" t="inlineStr">
        <is>
          <t>EX-V0010</t>
        </is>
      </c>
    </row>
    <row r="10">
      <c r="A10" s="51" t="n">
        <v>46239</v>
      </c>
      <c r="B10" s="52" t="inlineStr">
        <is>
          <t>CB-17</t>
        </is>
      </c>
      <c r="C10" s="52" t="inlineStr">
        <is>
          <t>Saulo</t>
        </is>
      </c>
      <c r="D10" s="52" t="inlineStr">
        <is>
          <t>01</t>
        </is>
      </c>
      <c r="E10" s="52" t="inlineStr">
        <is>
          <t>02</t>
        </is>
      </c>
      <c r="F10" s="52" t="n">
        <v>11</v>
      </c>
      <c r="G10" s="52" t="inlineStr">
        <is>
          <t>Rejeito</t>
        </is>
      </c>
      <c r="H10" s="52" t="n">
        <v>30</v>
      </c>
      <c r="I10" s="52" t="n">
        <v>330</v>
      </c>
      <c r="J10" s="52" t="inlineStr">
        <is>
          <t>EX-V0011</t>
        </is>
      </c>
    </row>
    <row r="11">
      <c r="A11" s="51" t="n">
        <v>46239</v>
      </c>
      <c r="B11" s="52" t="inlineStr">
        <is>
          <t>CB-22</t>
        </is>
      </c>
      <c r="C11" s="52" t="inlineStr">
        <is>
          <t>José</t>
        </is>
      </c>
      <c r="D11" s="52" t="inlineStr">
        <is>
          <t>01</t>
        </is>
      </c>
      <c r="E11" s="52" t="inlineStr">
        <is>
          <t>02</t>
        </is>
      </c>
      <c r="F11" s="52" t="n">
        <v>8</v>
      </c>
      <c r="G11" s="52" t="inlineStr">
        <is>
          <t>Minério</t>
        </is>
      </c>
      <c r="H11" s="52" t="n">
        <v>28</v>
      </c>
      <c r="I11" s="52" t="n">
        <v>224</v>
      </c>
      <c r="J11" s="52" t="inlineStr">
        <is>
          <t>EX-V0012</t>
        </is>
      </c>
    </row>
    <row r="12">
      <c r="A12" s="51" t="n">
        <v>46240</v>
      </c>
      <c r="B12" s="52" t="inlineStr">
        <is>
          <t>CB-01</t>
        </is>
      </c>
      <c r="C12" s="52" t="inlineStr">
        <is>
          <t>Marcos</t>
        </is>
      </c>
      <c r="D12" s="52" t="inlineStr">
        <is>
          <t>01</t>
        </is>
      </c>
      <c r="E12" s="52" t="inlineStr">
        <is>
          <t>02</t>
        </is>
      </c>
      <c r="F12" s="52" t="n">
        <v>7</v>
      </c>
      <c r="G12" s="52" t="inlineStr">
        <is>
          <t>Estéril</t>
        </is>
      </c>
      <c r="H12" s="52" t="n">
        <v>30</v>
      </c>
      <c r="I12" s="52" t="n">
        <v>210</v>
      </c>
      <c r="J12" s="52" t="inlineStr">
        <is>
          <t>EX-V0017</t>
        </is>
      </c>
    </row>
    <row r="13">
      <c r="A13" s="51" t="n">
        <v>46240</v>
      </c>
      <c r="B13" s="52" t="inlineStr">
        <is>
          <t>CB-11</t>
        </is>
      </c>
      <c r="C13" s="52" t="inlineStr">
        <is>
          <t>Saulo</t>
        </is>
      </c>
      <c r="D13" s="52" t="inlineStr">
        <is>
          <t>01</t>
        </is>
      </c>
      <c r="E13" s="52" t="inlineStr">
        <is>
          <t>02</t>
        </is>
      </c>
      <c r="F13" s="52" t="n">
        <v>10</v>
      </c>
      <c r="G13" s="52" t="inlineStr">
        <is>
          <t>Rejeito</t>
        </is>
      </c>
      <c r="H13" s="52" t="n">
        <v>30</v>
      </c>
      <c r="I13" s="52" t="n">
        <v>300</v>
      </c>
      <c r="J13" s="52" t="inlineStr">
        <is>
          <t>EX-V0018</t>
        </is>
      </c>
    </row>
    <row r="14">
      <c r="A14" s="51" t="n">
        <v>46240</v>
      </c>
      <c r="B14" s="52" t="inlineStr">
        <is>
          <t>CB-17</t>
        </is>
      </c>
      <c r="C14" s="52" t="inlineStr">
        <is>
          <t>José</t>
        </is>
      </c>
      <c r="D14" s="52" t="inlineStr">
        <is>
          <t>01</t>
        </is>
      </c>
      <c r="E14" s="52" t="inlineStr">
        <is>
          <t>02</t>
        </is>
      </c>
      <c r="F14" s="52" t="n">
        <v>12</v>
      </c>
      <c r="G14" s="52" t="inlineStr">
        <is>
          <t>Minério</t>
        </is>
      </c>
      <c r="H14" s="52" t="n">
        <v>28</v>
      </c>
      <c r="I14" s="52" t="n">
        <v>336</v>
      </c>
      <c r="J14" s="52" t="inlineStr">
        <is>
          <t>EX-V0019</t>
        </is>
      </c>
    </row>
    <row r="15">
      <c r="A15" s="51" t="n">
        <v>46240</v>
      </c>
      <c r="B15" s="52" t="inlineStr">
        <is>
          <t>CB-22</t>
        </is>
      </c>
      <c r="C15" s="52" t="inlineStr">
        <is>
          <t>Carlos</t>
        </is>
      </c>
      <c r="D15" s="52" t="inlineStr">
        <is>
          <t>01</t>
        </is>
      </c>
      <c r="E15" s="52" t="inlineStr">
        <is>
          <t>02</t>
        </is>
      </c>
      <c r="F15" s="52" t="n">
        <v>6</v>
      </c>
      <c r="G15" s="52" t="inlineStr">
        <is>
          <t>Estéril</t>
        </is>
      </c>
      <c r="H15" s="52" t="n">
        <v>28</v>
      </c>
      <c r="I15" s="52" t="n">
        <v>168</v>
      </c>
      <c r="J15" s="52" t="inlineStr">
        <is>
          <t>EX-V0020</t>
        </is>
      </c>
    </row>
    <row r="16">
      <c r="A16" s="51" t="n">
        <v>46241</v>
      </c>
      <c r="B16" s="52" t="inlineStr">
        <is>
          <t>CB-01</t>
        </is>
      </c>
      <c r="C16" s="52" t="inlineStr">
        <is>
          <t>Saulo</t>
        </is>
      </c>
      <c r="D16" s="52" t="inlineStr">
        <is>
          <t>01</t>
        </is>
      </c>
      <c r="E16" s="52" t="inlineStr">
        <is>
          <t>02</t>
        </is>
      </c>
      <c r="F16" s="52" t="n">
        <v>12</v>
      </c>
      <c r="G16" s="52" t="inlineStr">
        <is>
          <t>Rejeito</t>
        </is>
      </c>
      <c r="H16" s="52" t="n">
        <v>28</v>
      </c>
      <c r="I16" s="52" t="n">
        <v>336</v>
      </c>
      <c r="J16" s="52" t="inlineStr">
        <is>
          <t>EX-V0025</t>
        </is>
      </c>
    </row>
    <row r="17">
      <c r="A17" s="51" t="n">
        <v>46241</v>
      </c>
      <c r="B17" s="52" t="inlineStr">
        <is>
          <t>CB-11</t>
        </is>
      </c>
      <c r="C17" s="52" t="inlineStr">
        <is>
          <t>José</t>
        </is>
      </c>
      <c r="D17" s="52" t="inlineStr">
        <is>
          <t>01</t>
        </is>
      </c>
      <c r="E17" s="52" t="inlineStr">
        <is>
          <t>02</t>
        </is>
      </c>
      <c r="F17" s="52" t="n">
        <v>11</v>
      </c>
      <c r="G17" s="52" t="inlineStr">
        <is>
          <t>Minério</t>
        </is>
      </c>
      <c r="H17" s="52" t="n">
        <v>30</v>
      </c>
      <c r="I17" s="52" t="n">
        <v>330</v>
      </c>
      <c r="J17" s="52" t="inlineStr">
        <is>
          <t>EX-V0026</t>
        </is>
      </c>
    </row>
    <row r="18">
      <c r="A18" s="51" t="n">
        <v>46241</v>
      </c>
      <c r="B18" s="52" t="inlineStr">
        <is>
          <t>CB-17</t>
        </is>
      </c>
      <c r="C18" s="52" t="inlineStr">
        <is>
          <t>Carlos</t>
        </is>
      </c>
      <c r="D18" s="52" t="inlineStr">
        <is>
          <t>01</t>
        </is>
      </c>
      <c r="E18" s="52" t="inlineStr">
        <is>
          <t>02</t>
        </is>
      </c>
      <c r="F18" s="52" t="n">
        <v>11</v>
      </c>
      <c r="G18" s="52" t="inlineStr">
        <is>
          <t>Estéril</t>
        </is>
      </c>
      <c r="H18" s="52" t="n">
        <v>32</v>
      </c>
      <c r="I18" s="52" t="n">
        <v>352</v>
      </c>
      <c r="J18" s="52" t="inlineStr">
        <is>
          <t>EX-V0027</t>
        </is>
      </c>
    </row>
    <row r="19">
      <c r="A19" s="51" t="n">
        <v>46241</v>
      </c>
      <c r="B19" s="52" t="inlineStr">
        <is>
          <t>CB-22</t>
        </is>
      </c>
      <c r="C19" s="52" t="inlineStr">
        <is>
          <t>Antônio</t>
        </is>
      </c>
      <c r="D19" s="52" t="inlineStr">
        <is>
          <t>01</t>
        </is>
      </c>
      <c r="E19" s="52" t="inlineStr">
        <is>
          <t>02</t>
        </is>
      </c>
      <c r="F19" s="52" t="n">
        <v>9</v>
      </c>
      <c r="G19" s="52" t="inlineStr">
        <is>
          <t>Rejeito</t>
        </is>
      </c>
      <c r="H19" s="52" t="n">
        <v>32</v>
      </c>
      <c r="I19" s="52" t="n">
        <v>288</v>
      </c>
      <c r="J19" s="52" t="inlineStr">
        <is>
          <t>EX-V0028</t>
        </is>
      </c>
    </row>
    <row r="20">
      <c r="A20" s="51" t="n">
        <v>46242</v>
      </c>
      <c r="B20" s="52" t="inlineStr">
        <is>
          <t>CB-01</t>
        </is>
      </c>
      <c r="C20" s="52" t="inlineStr">
        <is>
          <t>José</t>
        </is>
      </c>
      <c r="D20" s="52" t="inlineStr">
        <is>
          <t>01</t>
        </is>
      </c>
      <c r="E20" s="52" t="inlineStr">
        <is>
          <t>02</t>
        </is>
      </c>
      <c r="F20" s="52" t="n">
        <v>5</v>
      </c>
      <c r="G20" s="52" t="inlineStr">
        <is>
          <t>Minério</t>
        </is>
      </c>
      <c r="H20" s="52" t="n">
        <v>28</v>
      </c>
      <c r="I20" s="52" t="n">
        <v>140</v>
      </c>
      <c r="J20" s="52" t="inlineStr">
        <is>
          <t>EX-V0033</t>
        </is>
      </c>
    </row>
    <row r="21">
      <c r="A21" s="51" t="n">
        <v>46242</v>
      </c>
      <c r="B21" s="52" t="inlineStr">
        <is>
          <t>CB-11</t>
        </is>
      </c>
      <c r="C21" s="52" t="inlineStr">
        <is>
          <t>Carlos</t>
        </is>
      </c>
      <c r="D21" s="52" t="inlineStr">
        <is>
          <t>01</t>
        </is>
      </c>
      <c r="E21" s="52" t="inlineStr">
        <is>
          <t>02</t>
        </is>
      </c>
      <c r="F21" s="52" t="n">
        <v>7</v>
      </c>
      <c r="G21" s="52" t="inlineStr">
        <is>
          <t>Estéril</t>
        </is>
      </c>
      <c r="H21" s="52" t="n">
        <v>32</v>
      </c>
      <c r="I21" s="52" t="n">
        <v>224</v>
      </c>
      <c r="J21" s="52" t="inlineStr">
        <is>
          <t>EX-V0034</t>
        </is>
      </c>
    </row>
    <row r="22">
      <c r="A22" s="51" t="n">
        <v>46242</v>
      </c>
      <c r="B22" s="52" t="inlineStr">
        <is>
          <t>CB-17</t>
        </is>
      </c>
      <c r="C22" s="52" t="inlineStr">
        <is>
          <t>Antônio</t>
        </is>
      </c>
      <c r="D22" s="52" t="inlineStr">
        <is>
          <t>01</t>
        </is>
      </c>
      <c r="E22" s="52" t="inlineStr">
        <is>
          <t>02</t>
        </is>
      </c>
      <c r="F22" s="52" t="n">
        <v>5</v>
      </c>
      <c r="G22" s="52" t="inlineStr">
        <is>
          <t>Rejeito</t>
        </is>
      </c>
      <c r="H22" s="52" t="n">
        <v>30</v>
      </c>
      <c r="I22" s="52" t="n">
        <v>150</v>
      </c>
      <c r="J22" s="52" t="inlineStr">
        <is>
          <t>EX-V0035</t>
        </is>
      </c>
    </row>
    <row r="23">
      <c r="A23" s="51" t="n">
        <v>46242</v>
      </c>
      <c r="B23" s="52" t="inlineStr">
        <is>
          <t>CB-22</t>
        </is>
      </c>
      <c r="C23" s="52" t="inlineStr">
        <is>
          <t>Marcos</t>
        </is>
      </c>
      <c r="D23" s="52" t="inlineStr">
        <is>
          <t>01</t>
        </is>
      </c>
      <c r="E23" s="52" t="inlineStr">
        <is>
          <t>02</t>
        </is>
      </c>
      <c r="F23" s="52" t="n">
        <v>11</v>
      </c>
      <c r="G23" s="52" t="inlineStr">
        <is>
          <t>Minério</t>
        </is>
      </c>
      <c r="H23" s="52" t="n">
        <v>30</v>
      </c>
      <c r="I23" s="52" t="n">
        <v>330</v>
      </c>
      <c r="J23" s="52" t="inlineStr">
        <is>
          <t>EX-V0036</t>
        </is>
      </c>
    </row>
    <row r="24">
      <c r="A24" s="51" t="n">
        <v>46244</v>
      </c>
      <c r="B24" s="52" t="inlineStr">
        <is>
          <t>CB-01</t>
        </is>
      </c>
      <c r="C24" s="52" t="inlineStr">
        <is>
          <t>Antônio</t>
        </is>
      </c>
      <c r="D24" s="52" t="inlineStr">
        <is>
          <t>01</t>
        </is>
      </c>
      <c r="E24" s="52" t="inlineStr">
        <is>
          <t>02</t>
        </is>
      </c>
      <c r="F24" s="52" t="n">
        <v>6</v>
      </c>
      <c r="G24" s="52" t="inlineStr">
        <is>
          <t>Rejeito</t>
        </is>
      </c>
      <c r="H24" s="52" t="n">
        <v>30</v>
      </c>
      <c r="I24" s="52" t="n">
        <v>180</v>
      </c>
      <c r="J24" s="52" t="inlineStr">
        <is>
          <t>EX-V0041</t>
        </is>
      </c>
    </row>
    <row r="25">
      <c r="A25" s="51" t="n">
        <v>46244</v>
      </c>
      <c r="B25" s="52" t="inlineStr">
        <is>
          <t>CB-11</t>
        </is>
      </c>
      <c r="C25" s="52" t="inlineStr">
        <is>
          <t>Marcos</t>
        </is>
      </c>
      <c r="D25" s="52" t="inlineStr">
        <is>
          <t>01</t>
        </is>
      </c>
      <c r="E25" s="52" t="inlineStr">
        <is>
          <t>02</t>
        </is>
      </c>
      <c r="F25" s="52" t="n">
        <v>11</v>
      </c>
      <c r="G25" s="52" t="inlineStr">
        <is>
          <t>Minério</t>
        </is>
      </c>
      <c r="H25" s="52" t="n">
        <v>28</v>
      </c>
      <c r="I25" s="52" t="n">
        <v>308</v>
      </c>
      <c r="J25" s="52" t="inlineStr">
        <is>
          <t>EX-V0042</t>
        </is>
      </c>
    </row>
    <row r="26">
      <c r="A26" s="51" t="n">
        <v>46244</v>
      </c>
      <c r="B26" s="52" t="inlineStr">
        <is>
          <t>CB-17</t>
        </is>
      </c>
      <c r="C26" s="52" t="inlineStr">
        <is>
          <t>Saulo</t>
        </is>
      </c>
      <c r="D26" s="52" t="inlineStr">
        <is>
          <t>01</t>
        </is>
      </c>
      <c r="E26" s="52" t="inlineStr">
        <is>
          <t>02</t>
        </is>
      </c>
      <c r="F26" s="52" t="n">
        <v>12</v>
      </c>
      <c r="G26" s="52" t="inlineStr">
        <is>
          <t>Estéril</t>
        </is>
      </c>
      <c r="H26" s="52" t="n">
        <v>28</v>
      </c>
      <c r="I26" s="52" t="n">
        <v>336</v>
      </c>
      <c r="J26" s="52" t="inlineStr">
        <is>
          <t>EX-V0043</t>
        </is>
      </c>
    </row>
    <row r="27">
      <c r="A27" s="51" t="n">
        <v>46244</v>
      </c>
      <c r="B27" s="52" t="inlineStr">
        <is>
          <t>CB-22</t>
        </is>
      </c>
      <c r="C27" s="52" t="inlineStr">
        <is>
          <t>José</t>
        </is>
      </c>
      <c r="D27" s="52" t="inlineStr">
        <is>
          <t>01</t>
        </is>
      </c>
      <c r="E27" s="52" t="inlineStr">
        <is>
          <t>02</t>
        </is>
      </c>
      <c r="F27" s="52" t="n">
        <v>12</v>
      </c>
      <c r="G27" s="52" t="inlineStr">
        <is>
          <t>Rejeito</t>
        </is>
      </c>
      <c r="H27" s="52" t="n">
        <v>30</v>
      </c>
      <c r="I27" s="52" t="n">
        <v>360</v>
      </c>
      <c r="J27" s="52" t="inlineStr">
        <is>
          <t>EX-V0044</t>
        </is>
      </c>
    </row>
    <row r="28">
      <c r="A28" s="51" t="n">
        <v>46245</v>
      </c>
      <c r="B28" s="52" t="inlineStr">
        <is>
          <t>CB-01</t>
        </is>
      </c>
      <c r="C28" s="52" t="inlineStr">
        <is>
          <t>Marcos</t>
        </is>
      </c>
      <c r="D28" s="52" t="inlineStr">
        <is>
          <t>01</t>
        </is>
      </c>
      <c r="E28" s="52" t="inlineStr">
        <is>
          <t>02</t>
        </is>
      </c>
      <c r="F28" s="52" t="n">
        <v>5</v>
      </c>
      <c r="G28" s="52" t="inlineStr">
        <is>
          <t>Minério</t>
        </is>
      </c>
      <c r="H28" s="52" t="n">
        <v>32</v>
      </c>
      <c r="I28" s="52" t="n">
        <v>160</v>
      </c>
      <c r="J28" s="52" t="inlineStr">
        <is>
          <t>EX-V0049</t>
        </is>
      </c>
    </row>
    <row r="29">
      <c r="A29" s="51" t="n">
        <v>46245</v>
      </c>
      <c r="B29" s="52" t="inlineStr">
        <is>
          <t>CB-11</t>
        </is>
      </c>
      <c r="C29" s="52" t="inlineStr">
        <is>
          <t>Saulo</t>
        </is>
      </c>
      <c r="D29" s="52" t="inlineStr">
        <is>
          <t>01</t>
        </is>
      </c>
      <c r="E29" s="52" t="inlineStr">
        <is>
          <t>02</t>
        </is>
      </c>
      <c r="F29" s="52" t="n">
        <v>9</v>
      </c>
      <c r="G29" s="52" t="inlineStr">
        <is>
          <t>Estéril</t>
        </is>
      </c>
      <c r="H29" s="52" t="n">
        <v>32</v>
      </c>
      <c r="I29" s="52" t="n">
        <v>288</v>
      </c>
      <c r="J29" s="52" t="inlineStr">
        <is>
          <t>EX-V0050</t>
        </is>
      </c>
    </row>
    <row r="30">
      <c r="A30" s="51" t="n">
        <v>46245</v>
      </c>
      <c r="B30" s="52" t="inlineStr">
        <is>
          <t>CB-17</t>
        </is>
      </c>
      <c r="C30" s="52" t="inlineStr">
        <is>
          <t>José</t>
        </is>
      </c>
      <c r="D30" s="52" t="inlineStr">
        <is>
          <t>01</t>
        </is>
      </c>
      <c r="E30" s="52" t="inlineStr">
        <is>
          <t>02</t>
        </is>
      </c>
      <c r="F30" s="52" t="n">
        <v>10</v>
      </c>
      <c r="G30" s="52" t="inlineStr">
        <is>
          <t>Rejeito</t>
        </is>
      </c>
      <c r="H30" s="52" t="n">
        <v>32</v>
      </c>
      <c r="I30" s="52" t="n">
        <v>320</v>
      </c>
      <c r="J30" s="52" t="inlineStr">
        <is>
          <t>EX-V0051</t>
        </is>
      </c>
    </row>
    <row r="31">
      <c r="A31" s="51" t="n">
        <v>46245</v>
      </c>
      <c r="B31" s="52" t="inlineStr">
        <is>
          <t>CB-22</t>
        </is>
      </c>
      <c r="C31" s="52" t="inlineStr">
        <is>
          <t>Carlos</t>
        </is>
      </c>
      <c r="D31" s="52" t="inlineStr">
        <is>
          <t>01</t>
        </is>
      </c>
      <c r="E31" s="52" t="inlineStr">
        <is>
          <t>02</t>
        </is>
      </c>
      <c r="F31" s="52" t="n">
        <v>8</v>
      </c>
      <c r="G31" s="52" t="inlineStr">
        <is>
          <t>Minério</t>
        </is>
      </c>
      <c r="H31" s="52" t="n">
        <v>28</v>
      </c>
      <c r="I31" s="52" t="n">
        <v>224</v>
      </c>
      <c r="J31" s="52" t="inlineStr">
        <is>
          <t>EX-V0052</t>
        </is>
      </c>
    </row>
    <row r="32">
      <c r="A32" s="51" t="n">
        <v>46246</v>
      </c>
      <c r="B32" s="52" t="inlineStr">
        <is>
          <t>CB-01</t>
        </is>
      </c>
      <c r="C32" s="52" t="inlineStr">
        <is>
          <t>Saulo</t>
        </is>
      </c>
      <c r="D32" s="52" t="inlineStr">
        <is>
          <t>01</t>
        </is>
      </c>
      <c r="E32" s="52" t="inlineStr">
        <is>
          <t>02</t>
        </is>
      </c>
      <c r="F32" s="52" t="n">
        <v>10</v>
      </c>
      <c r="G32" s="52" t="inlineStr">
        <is>
          <t>Estéril</t>
        </is>
      </c>
      <c r="H32" s="52" t="n">
        <v>30</v>
      </c>
      <c r="I32" s="52" t="n">
        <v>300</v>
      </c>
      <c r="J32" s="52" t="inlineStr">
        <is>
          <t>EX-V0056</t>
        </is>
      </c>
    </row>
    <row r="33">
      <c r="A33" s="51" t="n">
        <v>46246</v>
      </c>
      <c r="B33" s="52" t="inlineStr">
        <is>
          <t>CB-11</t>
        </is>
      </c>
      <c r="C33" s="52" t="inlineStr">
        <is>
          <t>José</t>
        </is>
      </c>
      <c r="D33" s="52" t="inlineStr">
        <is>
          <t>01</t>
        </is>
      </c>
      <c r="E33" s="52" t="inlineStr">
        <is>
          <t>02</t>
        </is>
      </c>
      <c r="F33" s="52" t="n">
        <v>10</v>
      </c>
      <c r="G33" s="52" t="inlineStr">
        <is>
          <t>Rejeito</t>
        </is>
      </c>
      <c r="H33" s="52" t="n">
        <v>28</v>
      </c>
      <c r="I33" s="52" t="n">
        <v>280</v>
      </c>
      <c r="J33" s="52" t="inlineStr">
        <is>
          <t>EX-V0057</t>
        </is>
      </c>
    </row>
    <row r="34">
      <c r="A34" s="51" t="n">
        <v>46246</v>
      </c>
      <c r="B34" s="52" t="inlineStr">
        <is>
          <t>CB-17</t>
        </is>
      </c>
      <c r="C34" s="52" t="inlineStr">
        <is>
          <t>Carlos</t>
        </is>
      </c>
      <c r="D34" s="52" t="inlineStr">
        <is>
          <t>01</t>
        </is>
      </c>
      <c r="E34" s="52" t="inlineStr">
        <is>
          <t>02</t>
        </is>
      </c>
      <c r="F34" s="52" t="n">
        <v>8</v>
      </c>
      <c r="G34" s="52" t="inlineStr">
        <is>
          <t>Minério</t>
        </is>
      </c>
      <c r="H34" s="52" t="n">
        <v>30</v>
      </c>
      <c r="I34" s="52" t="n">
        <v>240</v>
      </c>
      <c r="J34" s="52" t="inlineStr">
        <is>
          <t>EX-V0058</t>
        </is>
      </c>
    </row>
    <row r="35">
      <c r="A35" s="51" t="n">
        <v>46246</v>
      </c>
      <c r="B35" s="52" t="inlineStr">
        <is>
          <t>CB-22</t>
        </is>
      </c>
      <c r="C35" s="52" t="inlineStr">
        <is>
          <t>Antônio</t>
        </is>
      </c>
      <c r="D35" s="52" t="inlineStr">
        <is>
          <t>01</t>
        </is>
      </c>
      <c r="E35" s="52" t="inlineStr">
        <is>
          <t>02</t>
        </is>
      </c>
      <c r="F35" s="52" t="n">
        <v>12</v>
      </c>
      <c r="G35" s="52" t="inlineStr">
        <is>
          <t>Estéril</t>
        </is>
      </c>
      <c r="H35" s="52" t="n">
        <v>32</v>
      </c>
      <c r="I35" s="52" t="n">
        <v>384</v>
      </c>
      <c r="J35" s="52" t="inlineStr">
        <is>
          <t>EX-V0059</t>
        </is>
      </c>
    </row>
    <row r="36">
      <c r="A36" s="51" t="n">
        <v>46247</v>
      </c>
      <c r="B36" s="52" t="inlineStr">
        <is>
          <t>CB-01</t>
        </is>
      </c>
      <c r="C36" s="52" t="inlineStr">
        <is>
          <t>José</t>
        </is>
      </c>
      <c r="D36" s="52" t="inlineStr">
        <is>
          <t>01</t>
        </is>
      </c>
      <c r="E36" s="52" t="inlineStr">
        <is>
          <t>02</t>
        </is>
      </c>
      <c r="F36" s="52" t="n">
        <v>11</v>
      </c>
      <c r="G36" s="52" t="inlineStr">
        <is>
          <t>Rejeito</t>
        </is>
      </c>
      <c r="H36" s="52" t="n">
        <v>30</v>
      </c>
      <c r="I36" s="52" t="n">
        <v>330</v>
      </c>
      <c r="J36" s="52" t="inlineStr">
        <is>
          <t>EX-V0064</t>
        </is>
      </c>
    </row>
    <row r="37">
      <c r="A37" s="51" t="n">
        <v>46247</v>
      </c>
      <c r="B37" s="52" t="inlineStr">
        <is>
          <t>CB-11</t>
        </is>
      </c>
      <c r="C37" s="52" t="inlineStr">
        <is>
          <t>Carlos</t>
        </is>
      </c>
      <c r="D37" s="52" t="inlineStr">
        <is>
          <t>01</t>
        </is>
      </c>
      <c r="E37" s="52" t="inlineStr">
        <is>
          <t>02</t>
        </is>
      </c>
      <c r="F37" s="52" t="n">
        <v>7</v>
      </c>
      <c r="G37" s="52" t="inlineStr">
        <is>
          <t>Minério</t>
        </is>
      </c>
      <c r="H37" s="52" t="n">
        <v>28</v>
      </c>
      <c r="I37" s="52" t="n">
        <v>196</v>
      </c>
      <c r="J37" s="52" t="inlineStr">
        <is>
          <t>EX-V0065</t>
        </is>
      </c>
    </row>
    <row r="38">
      <c r="A38" s="51" t="n">
        <v>46247</v>
      </c>
      <c r="B38" s="52" t="inlineStr">
        <is>
          <t>CB-17</t>
        </is>
      </c>
      <c r="C38" s="52" t="inlineStr">
        <is>
          <t>Antônio</t>
        </is>
      </c>
      <c r="D38" s="52" t="inlineStr">
        <is>
          <t>01</t>
        </is>
      </c>
      <c r="E38" s="52" t="inlineStr">
        <is>
          <t>02</t>
        </is>
      </c>
      <c r="F38" s="52" t="n">
        <v>7</v>
      </c>
      <c r="G38" s="52" t="inlineStr">
        <is>
          <t>Estéril</t>
        </is>
      </c>
      <c r="H38" s="52" t="n">
        <v>32</v>
      </c>
      <c r="I38" s="52" t="n">
        <v>224</v>
      </c>
      <c r="J38" s="52" t="inlineStr">
        <is>
          <t>EX-V0066</t>
        </is>
      </c>
    </row>
    <row r="39">
      <c r="A39" s="51" t="n">
        <v>46247</v>
      </c>
      <c r="B39" s="52" t="inlineStr">
        <is>
          <t>CB-22</t>
        </is>
      </c>
      <c r="C39" s="52" t="inlineStr">
        <is>
          <t>Marcos</t>
        </is>
      </c>
      <c r="D39" s="52" t="inlineStr">
        <is>
          <t>01</t>
        </is>
      </c>
      <c r="E39" s="52" t="inlineStr">
        <is>
          <t>02</t>
        </is>
      </c>
      <c r="F39" s="52" t="n">
        <v>10</v>
      </c>
      <c r="G39" s="52" t="inlineStr">
        <is>
          <t>Rejeito</t>
        </is>
      </c>
      <c r="H39" s="52" t="n">
        <v>28</v>
      </c>
      <c r="I39" s="52" t="n">
        <v>280</v>
      </c>
      <c r="J39" s="52" t="inlineStr">
        <is>
          <t>EX-V0067</t>
        </is>
      </c>
    </row>
    <row r="40">
      <c r="A40" s="51" t="n">
        <v>46248</v>
      </c>
      <c r="B40" s="52" t="inlineStr">
        <is>
          <t>CB-01</t>
        </is>
      </c>
      <c r="C40" s="52" t="inlineStr">
        <is>
          <t>Carlos</t>
        </is>
      </c>
      <c r="D40" s="52" t="inlineStr">
        <is>
          <t>01</t>
        </is>
      </c>
      <c r="E40" s="52" t="inlineStr">
        <is>
          <t>02</t>
        </is>
      </c>
      <c r="F40" s="52" t="n">
        <v>9</v>
      </c>
      <c r="G40" s="52" t="inlineStr">
        <is>
          <t>Minério</t>
        </is>
      </c>
      <c r="H40" s="52" t="n">
        <v>28</v>
      </c>
      <c r="I40" s="52" t="n">
        <v>252</v>
      </c>
      <c r="J40" s="52" t="inlineStr">
        <is>
          <t>EX-V0072</t>
        </is>
      </c>
    </row>
    <row r="41">
      <c r="A41" s="51" t="n">
        <v>46248</v>
      </c>
      <c r="B41" s="52" t="inlineStr">
        <is>
          <t>CB-11</t>
        </is>
      </c>
      <c r="C41" s="52" t="inlineStr">
        <is>
          <t>Antônio</t>
        </is>
      </c>
      <c r="D41" s="52" t="inlineStr">
        <is>
          <t>01</t>
        </is>
      </c>
      <c r="E41" s="52" t="inlineStr">
        <is>
          <t>02</t>
        </is>
      </c>
      <c r="F41" s="52" t="n">
        <v>9</v>
      </c>
      <c r="G41" s="52" t="inlineStr">
        <is>
          <t>Estéril</t>
        </is>
      </c>
      <c r="H41" s="52" t="n">
        <v>32</v>
      </c>
      <c r="I41" s="52" t="n">
        <v>288</v>
      </c>
      <c r="J41" s="52" t="inlineStr">
        <is>
          <t>EX-V0073</t>
        </is>
      </c>
    </row>
    <row r="42">
      <c r="A42" s="51" t="n">
        <v>46248</v>
      </c>
      <c r="B42" s="52" t="inlineStr">
        <is>
          <t>CB-17</t>
        </is>
      </c>
      <c r="C42" s="52" t="inlineStr">
        <is>
          <t>Marcos</t>
        </is>
      </c>
      <c r="D42" s="52" t="inlineStr">
        <is>
          <t>01</t>
        </is>
      </c>
      <c r="E42" s="52" t="inlineStr">
        <is>
          <t>02</t>
        </is>
      </c>
      <c r="F42" s="52" t="n">
        <v>10</v>
      </c>
      <c r="G42" s="52" t="inlineStr">
        <is>
          <t>Rejeito</t>
        </is>
      </c>
      <c r="H42" s="52" t="n">
        <v>30</v>
      </c>
      <c r="I42" s="52" t="n">
        <v>300</v>
      </c>
      <c r="J42" s="52" t="inlineStr">
        <is>
          <t>EX-V0074</t>
        </is>
      </c>
    </row>
    <row r="43">
      <c r="A43" s="51" t="n">
        <v>46248</v>
      </c>
      <c r="B43" s="52" t="inlineStr">
        <is>
          <t>CB-22</t>
        </is>
      </c>
      <c r="C43" s="52" t="inlineStr">
        <is>
          <t>Saulo</t>
        </is>
      </c>
      <c r="D43" s="52" t="inlineStr">
        <is>
          <t>01</t>
        </is>
      </c>
      <c r="E43" s="52" t="inlineStr">
        <is>
          <t>02</t>
        </is>
      </c>
      <c r="F43" s="52" t="n">
        <v>7</v>
      </c>
      <c r="G43" s="52" t="inlineStr">
        <is>
          <t>Minério</t>
        </is>
      </c>
      <c r="H43" s="52" t="n">
        <v>32</v>
      </c>
      <c r="I43" s="52" t="n">
        <v>224</v>
      </c>
      <c r="J43" s="52" t="inlineStr">
        <is>
          <t>EX-V0075</t>
        </is>
      </c>
    </row>
    <row r="44">
      <c r="A44" s="51" t="n">
        <v>46249</v>
      </c>
      <c r="B44" s="52" t="inlineStr">
        <is>
          <t>CB-01</t>
        </is>
      </c>
      <c r="C44" s="52" t="inlineStr">
        <is>
          <t>Antônio</t>
        </is>
      </c>
      <c r="D44" s="52" t="inlineStr">
        <is>
          <t>01</t>
        </is>
      </c>
      <c r="E44" s="52" t="inlineStr">
        <is>
          <t>02</t>
        </is>
      </c>
      <c r="F44" s="52" t="n">
        <v>12</v>
      </c>
      <c r="G44" s="52" t="inlineStr">
        <is>
          <t>Estéril</t>
        </is>
      </c>
      <c r="H44" s="52" t="n">
        <v>28</v>
      </c>
      <c r="I44" s="52" t="n">
        <v>336</v>
      </c>
      <c r="J44" s="52" t="inlineStr">
        <is>
          <t>EX-V0080</t>
        </is>
      </c>
    </row>
    <row r="45">
      <c r="A45" s="51" t="n">
        <v>46249</v>
      </c>
      <c r="B45" s="52" t="inlineStr">
        <is>
          <t>CB-11</t>
        </is>
      </c>
      <c r="C45" s="52" t="inlineStr">
        <is>
          <t>Marcos</t>
        </is>
      </c>
      <c r="D45" s="52" t="inlineStr">
        <is>
          <t>01</t>
        </is>
      </c>
      <c r="E45" s="52" t="inlineStr">
        <is>
          <t>02</t>
        </is>
      </c>
      <c r="F45" s="52" t="n">
        <v>5</v>
      </c>
      <c r="G45" s="52" t="inlineStr">
        <is>
          <t>Rejeito</t>
        </is>
      </c>
      <c r="H45" s="52" t="n">
        <v>28</v>
      </c>
      <c r="I45" s="52" t="n">
        <v>140</v>
      </c>
      <c r="J45" s="52" t="inlineStr">
        <is>
          <t>EX-V0081</t>
        </is>
      </c>
    </row>
    <row r="46">
      <c r="A46" s="51" t="n">
        <v>46249</v>
      </c>
      <c r="B46" s="52" t="inlineStr">
        <is>
          <t>CB-17</t>
        </is>
      </c>
      <c r="C46" s="52" t="inlineStr">
        <is>
          <t>Saulo</t>
        </is>
      </c>
      <c r="D46" s="52" t="inlineStr">
        <is>
          <t>01</t>
        </is>
      </c>
      <c r="E46" s="52" t="inlineStr">
        <is>
          <t>02</t>
        </is>
      </c>
      <c r="F46" s="52" t="n">
        <v>6</v>
      </c>
      <c r="G46" s="52" t="inlineStr">
        <is>
          <t>Minério</t>
        </is>
      </c>
      <c r="H46" s="52" t="n">
        <v>30</v>
      </c>
      <c r="I46" s="52" t="n">
        <v>180</v>
      </c>
      <c r="J46" s="52" t="inlineStr">
        <is>
          <t>EX-V0082</t>
        </is>
      </c>
    </row>
    <row r="47">
      <c r="A47" s="51" t="n">
        <v>46249</v>
      </c>
      <c r="B47" s="52" t="inlineStr">
        <is>
          <t>CB-22</t>
        </is>
      </c>
      <c r="C47" s="52" t="inlineStr">
        <is>
          <t>José</t>
        </is>
      </c>
      <c r="D47" s="52" t="inlineStr">
        <is>
          <t>01</t>
        </is>
      </c>
      <c r="E47" s="52" t="inlineStr">
        <is>
          <t>02</t>
        </is>
      </c>
      <c r="F47" s="52" t="n">
        <v>8</v>
      </c>
      <c r="G47" s="52" t="inlineStr">
        <is>
          <t>Estéril</t>
        </is>
      </c>
      <c r="H47" s="52" t="n">
        <v>32</v>
      </c>
      <c r="I47" s="52" t="n">
        <v>256</v>
      </c>
      <c r="J47" s="52" t="inlineStr">
        <is>
          <t>EX-V0083</t>
        </is>
      </c>
    </row>
    <row r="48">
      <c r="A48" s="51" t="n">
        <v>46251</v>
      </c>
      <c r="B48" s="52" t="inlineStr">
        <is>
          <t>CB-01</t>
        </is>
      </c>
      <c r="C48" s="52" t="inlineStr">
        <is>
          <t>Saulo</t>
        </is>
      </c>
      <c r="D48" s="52" t="inlineStr">
        <is>
          <t>01</t>
        </is>
      </c>
      <c r="E48" s="52" t="inlineStr">
        <is>
          <t>02</t>
        </is>
      </c>
      <c r="F48" s="52" t="n">
        <v>12</v>
      </c>
      <c r="G48" s="52" t="inlineStr">
        <is>
          <t>Minério</t>
        </is>
      </c>
      <c r="H48" s="52" t="n">
        <v>28</v>
      </c>
      <c r="I48" s="52" t="n">
        <v>336</v>
      </c>
      <c r="J48" s="52" t="inlineStr">
        <is>
          <t>EX-V0088</t>
        </is>
      </c>
    </row>
    <row r="49">
      <c r="A49" s="51" t="n">
        <v>46251</v>
      </c>
      <c r="B49" s="52" t="inlineStr">
        <is>
          <t>CB-11</t>
        </is>
      </c>
      <c r="C49" s="52" t="inlineStr">
        <is>
          <t>José</t>
        </is>
      </c>
      <c r="D49" s="52" t="inlineStr">
        <is>
          <t>01</t>
        </is>
      </c>
      <c r="E49" s="52" t="inlineStr">
        <is>
          <t>02</t>
        </is>
      </c>
      <c r="F49" s="52" t="n">
        <v>8</v>
      </c>
      <c r="G49" s="52" t="inlineStr">
        <is>
          <t>Estéril</t>
        </is>
      </c>
      <c r="H49" s="52" t="n">
        <v>30</v>
      </c>
      <c r="I49" s="52" t="n">
        <v>240</v>
      </c>
      <c r="J49" s="52" t="inlineStr">
        <is>
          <t>EX-V0089</t>
        </is>
      </c>
    </row>
    <row r="50">
      <c r="A50" s="51" t="n">
        <v>46251</v>
      </c>
      <c r="B50" s="52" t="inlineStr">
        <is>
          <t>CB-17</t>
        </is>
      </c>
      <c r="C50" s="52" t="inlineStr">
        <is>
          <t>Carlos</t>
        </is>
      </c>
      <c r="D50" s="52" t="inlineStr">
        <is>
          <t>01</t>
        </is>
      </c>
      <c r="E50" s="52" t="inlineStr">
        <is>
          <t>02</t>
        </is>
      </c>
      <c r="F50" s="52" t="n">
        <v>7</v>
      </c>
      <c r="G50" s="52" t="inlineStr">
        <is>
          <t>Rejeito</t>
        </is>
      </c>
      <c r="H50" s="52" t="n">
        <v>32</v>
      </c>
      <c r="I50" s="52" t="n">
        <v>224</v>
      </c>
      <c r="J50" s="52" t="inlineStr">
        <is>
          <t>EX-V0090</t>
        </is>
      </c>
    </row>
    <row r="51">
      <c r="A51" s="51" t="n">
        <v>46251</v>
      </c>
      <c r="B51" s="52" t="inlineStr">
        <is>
          <t>CB-22</t>
        </is>
      </c>
      <c r="C51" s="52" t="inlineStr">
        <is>
          <t>Antônio</t>
        </is>
      </c>
      <c r="D51" s="52" t="inlineStr">
        <is>
          <t>01</t>
        </is>
      </c>
      <c r="E51" s="52" t="inlineStr">
        <is>
          <t>02</t>
        </is>
      </c>
      <c r="F51" s="52" t="n">
        <v>7</v>
      </c>
      <c r="G51" s="52" t="inlineStr">
        <is>
          <t>Minério</t>
        </is>
      </c>
      <c r="H51" s="52" t="n">
        <v>30</v>
      </c>
      <c r="I51" s="52" t="n">
        <v>210</v>
      </c>
      <c r="J51" s="52" t="inlineStr">
        <is>
          <t>EX-V0091</t>
        </is>
      </c>
    </row>
    <row r="52">
      <c r="A52" s="51" t="n">
        <v>46252</v>
      </c>
      <c r="B52" s="52" t="inlineStr">
        <is>
          <t>CB-01</t>
        </is>
      </c>
      <c r="C52" s="52" t="inlineStr">
        <is>
          <t>José</t>
        </is>
      </c>
      <c r="D52" s="52" t="inlineStr">
        <is>
          <t>01</t>
        </is>
      </c>
      <c r="E52" s="52" t="inlineStr">
        <is>
          <t>02</t>
        </is>
      </c>
      <c r="F52" s="52" t="n">
        <v>10</v>
      </c>
      <c r="G52" s="52" t="inlineStr">
        <is>
          <t>Estéril</t>
        </is>
      </c>
      <c r="H52" s="52" t="n">
        <v>28</v>
      </c>
      <c r="I52" s="52" t="n">
        <v>280</v>
      </c>
      <c r="J52" s="52" t="inlineStr">
        <is>
          <t>EX-V0096</t>
        </is>
      </c>
    </row>
    <row r="53">
      <c r="A53" s="51" t="n">
        <v>46252</v>
      </c>
      <c r="B53" s="52" t="inlineStr">
        <is>
          <t>CB-11</t>
        </is>
      </c>
      <c r="C53" s="52" t="inlineStr">
        <is>
          <t>Carlos</t>
        </is>
      </c>
      <c r="D53" s="52" t="inlineStr">
        <is>
          <t>01</t>
        </is>
      </c>
      <c r="E53" s="52" t="inlineStr">
        <is>
          <t>02</t>
        </is>
      </c>
      <c r="F53" s="52" t="n">
        <v>12</v>
      </c>
      <c r="G53" s="52" t="inlineStr">
        <is>
          <t>Rejeito</t>
        </is>
      </c>
      <c r="H53" s="52" t="n">
        <v>32</v>
      </c>
      <c r="I53" s="52" t="n">
        <v>384</v>
      </c>
      <c r="J53" s="52" t="inlineStr">
        <is>
          <t>EX-V0097</t>
        </is>
      </c>
    </row>
    <row r="54">
      <c r="A54" s="51" t="n">
        <v>46252</v>
      </c>
      <c r="B54" s="52" t="inlineStr">
        <is>
          <t>CB-17</t>
        </is>
      </c>
      <c r="C54" s="52" t="inlineStr">
        <is>
          <t>Antônio</t>
        </is>
      </c>
      <c r="D54" s="52" t="inlineStr">
        <is>
          <t>01</t>
        </is>
      </c>
      <c r="E54" s="52" t="inlineStr">
        <is>
          <t>02</t>
        </is>
      </c>
      <c r="F54" s="52" t="n">
        <v>6</v>
      </c>
      <c r="G54" s="52" t="inlineStr">
        <is>
          <t>Minério</t>
        </is>
      </c>
      <c r="H54" s="52" t="n">
        <v>28</v>
      </c>
      <c r="I54" s="52" t="n">
        <v>168</v>
      </c>
      <c r="J54" s="52" t="inlineStr">
        <is>
          <t>EX-V0098</t>
        </is>
      </c>
    </row>
    <row r="55">
      <c r="A55" s="51" t="n">
        <v>46252</v>
      </c>
      <c r="B55" s="52" t="inlineStr">
        <is>
          <t>CB-22</t>
        </is>
      </c>
      <c r="C55" s="52" t="inlineStr">
        <is>
          <t>Marcos</t>
        </is>
      </c>
      <c r="D55" s="52" t="inlineStr">
        <is>
          <t>01</t>
        </is>
      </c>
      <c r="E55" s="52" t="inlineStr">
        <is>
          <t>02</t>
        </is>
      </c>
      <c r="F55" s="52" t="n">
        <v>6</v>
      </c>
      <c r="G55" s="52" t="inlineStr">
        <is>
          <t>Estéril</t>
        </is>
      </c>
      <c r="H55" s="52" t="n">
        <v>28</v>
      </c>
      <c r="I55" s="52" t="n">
        <v>168</v>
      </c>
      <c r="J55" s="52" t="inlineStr">
        <is>
          <t>EX-V0099</t>
        </is>
      </c>
    </row>
    <row r="56">
      <c r="A56" s="51" t="n">
        <v>46253</v>
      </c>
      <c r="B56" s="52" t="inlineStr">
        <is>
          <t>CB-01</t>
        </is>
      </c>
      <c r="C56" s="52" t="inlineStr">
        <is>
          <t>Carlos</t>
        </is>
      </c>
      <c r="D56" s="52" t="inlineStr">
        <is>
          <t>01</t>
        </is>
      </c>
      <c r="E56" s="52" t="inlineStr">
        <is>
          <t>02</t>
        </is>
      </c>
      <c r="F56" s="52" t="n">
        <v>12</v>
      </c>
      <c r="G56" s="52" t="inlineStr">
        <is>
          <t>Rejeito</t>
        </is>
      </c>
      <c r="H56" s="52" t="n">
        <v>32</v>
      </c>
      <c r="I56" s="52" t="n">
        <v>384</v>
      </c>
      <c r="J56" s="52" t="inlineStr">
        <is>
          <t>EX-V0104</t>
        </is>
      </c>
    </row>
    <row r="57">
      <c r="A57" s="51" t="n">
        <v>46253</v>
      </c>
      <c r="B57" s="52" t="inlineStr">
        <is>
          <t>CB-11</t>
        </is>
      </c>
      <c r="C57" s="52" t="inlineStr">
        <is>
          <t>Antônio</t>
        </is>
      </c>
      <c r="D57" s="52" t="inlineStr">
        <is>
          <t>01</t>
        </is>
      </c>
      <c r="E57" s="52" t="inlineStr">
        <is>
          <t>02</t>
        </is>
      </c>
      <c r="F57" s="52" t="n">
        <v>7</v>
      </c>
      <c r="G57" s="52" t="inlineStr">
        <is>
          <t>Minério</t>
        </is>
      </c>
      <c r="H57" s="52" t="n">
        <v>30</v>
      </c>
      <c r="I57" s="52" t="n">
        <v>210</v>
      </c>
      <c r="J57" s="52" t="inlineStr">
        <is>
          <t>EX-V0105</t>
        </is>
      </c>
    </row>
    <row r="58">
      <c r="A58" s="51" t="n">
        <v>46253</v>
      </c>
      <c r="B58" s="52" t="inlineStr">
        <is>
          <t>CB-17</t>
        </is>
      </c>
      <c r="C58" s="52" t="inlineStr">
        <is>
          <t>Marcos</t>
        </is>
      </c>
      <c r="D58" s="52" t="inlineStr">
        <is>
          <t>01</t>
        </is>
      </c>
      <c r="E58" s="52" t="inlineStr">
        <is>
          <t>02</t>
        </is>
      </c>
      <c r="F58" s="52" t="n">
        <v>6</v>
      </c>
      <c r="G58" s="52" t="inlineStr">
        <is>
          <t>Estéril</t>
        </is>
      </c>
      <c r="H58" s="52" t="n">
        <v>30</v>
      </c>
      <c r="I58" s="52" t="n">
        <v>180</v>
      </c>
      <c r="J58" s="52" t="inlineStr">
        <is>
          <t>EX-V0106</t>
        </is>
      </c>
    </row>
    <row r="59">
      <c r="A59" s="51" t="n">
        <v>46253</v>
      </c>
      <c r="B59" s="52" t="inlineStr">
        <is>
          <t>CB-22</t>
        </is>
      </c>
      <c r="C59" s="52" t="inlineStr">
        <is>
          <t>Saulo</t>
        </is>
      </c>
      <c r="D59" s="52" t="inlineStr">
        <is>
          <t>01</t>
        </is>
      </c>
      <c r="E59" s="52" t="inlineStr">
        <is>
          <t>02</t>
        </is>
      </c>
      <c r="F59" s="52" t="n">
        <v>6</v>
      </c>
      <c r="G59" s="52" t="inlineStr">
        <is>
          <t>Rejeito</t>
        </is>
      </c>
      <c r="H59" s="52" t="n">
        <v>30</v>
      </c>
      <c r="I59" s="52" t="n">
        <v>180</v>
      </c>
      <c r="J59" s="52" t="inlineStr">
        <is>
          <t>EX-V0107</t>
        </is>
      </c>
    </row>
    <row r="60">
      <c r="A60" s="51" t="n">
        <v>46254</v>
      </c>
      <c r="B60" s="52" t="inlineStr">
        <is>
          <t>CB-01</t>
        </is>
      </c>
      <c r="C60" s="52" t="inlineStr">
        <is>
          <t>Antônio</t>
        </is>
      </c>
      <c r="D60" s="52" t="inlineStr">
        <is>
          <t>01</t>
        </is>
      </c>
      <c r="E60" s="52" t="inlineStr">
        <is>
          <t>02</t>
        </is>
      </c>
      <c r="F60" s="52" t="n">
        <v>9</v>
      </c>
      <c r="G60" s="52" t="inlineStr">
        <is>
          <t>Minério</t>
        </is>
      </c>
      <c r="H60" s="52" t="n">
        <v>32</v>
      </c>
      <c r="I60" s="52" t="n">
        <v>288</v>
      </c>
      <c r="J60" s="52" t="inlineStr">
        <is>
          <t>EX-V0112</t>
        </is>
      </c>
    </row>
    <row r="61">
      <c r="A61" s="51" t="n">
        <v>46254</v>
      </c>
      <c r="B61" s="52" t="inlineStr">
        <is>
          <t>CB-11</t>
        </is>
      </c>
      <c r="C61" s="52" t="inlineStr">
        <is>
          <t>Marcos</t>
        </is>
      </c>
      <c r="D61" s="52" t="inlineStr">
        <is>
          <t>01</t>
        </is>
      </c>
      <c r="E61" s="52" t="inlineStr">
        <is>
          <t>02</t>
        </is>
      </c>
      <c r="F61" s="52" t="n">
        <v>7</v>
      </c>
      <c r="G61" s="52" t="inlineStr">
        <is>
          <t>Estéril</t>
        </is>
      </c>
      <c r="H61" s="52" t="n">
        <v>30</v>
      </c>
      <c r="I61" s="52" t="n">
        <v>210</v>
      </c>
      <c r="J61" s="52" t="inlineStr">
        <is>
          <t>EX-V0113</t>
        </is>
      </c>
    </row>
    <row r="62">
      <c r="A62" s="51" t="n">
        <v>46254</v>
      </c>
      <c r="B62" s="52" t="inlineStr">
        <is>
          <t>CB-17</t>
        </is>
      </c>
      <c r="C62" s="52" t="inlineStr">
        <is>
          <t>Saulo</t>
        </is>
      </c>
      <c r="D62" s="52" t="inlineStr">
        <is>
          <t>01</t>
        </is>
      </c>
      <c r="E62" s="52" t="inlineStr">
        <is>
          <t>02</t>
        </is>
      </c>
      <c r="F62" s="52" t="n">
        <v>5</v>
      </c>
      <c r="G62" s="52" t="inlineStr">
        <is>
          <t>Rejeito</t>
        </is>
      </c>
      <c r="H62" s="52" t="n">
        <v>28</v>
      </c>
      <c r="I62" s="52" t="n">
        <v>140</v>
      </c>
      <c r="J62" s="52" t="inlineStr">
        <is>
          <t>EX-V0114</t>
        </is>
      </c>
    </row>
    <row r="63">
      <c r="A63" s="51" t="n">
        <v>46254</v>
      </c>
      <c r="B63" s="52" t="inlineStr">
        <is>
          <t>CB-22</t>
        </is>
      </c>
      <c r="C63" s="52" t="inlineStr">
        <is>
          <t>José</t>
        </is>
      </c>
      <c r="D63" s="52" t="inlineStr">
        <is>
          <t>01</t>
        </is>
      </c>
      <c r="E63" s="52" t="inlineStr">
        <is>
          <t>02</t>
        </is>
      </c>
      <c r="F63" s="52" t="n">
        <v>12</v>
      </c>
      <c r="G63" s="52" t="inlineStr">
        <is>
          <t>Minério</t>
        </is>
      </c>
      <c r="H63" s="52" t="n">
        <v>28</v>
      </c>
      <c r="I63" s="52" t="n">
        <v>336</v>
      </c>
      <c r="J63" s="52" t="inlineStr">
        <is>
          <t>EX-V0115</t>
        </is>
      </c>
    </row>
    <row r="64">
      <c r="A64" s="51" t="n">
        <v>46255</v>
      </c>
      <c r="B64" s="52" t="inlineStr">
        <is>
          <t>CB-01</t>
        </is>
      </c>
      <c r="C64" s="52" t="inlineStr">
        <is>
          <t>Marcos</t>
        </is>
      </c>
      <c r="D64" s="52" t="inlineStr">
        <is>
          <t>01</t>
        </is>
      </c>
      <c r="E64" s="52" t="inlineStr">
        <is>
          <t>02</t>
        </is>
      </c>
      <c r="F64" s="52" t="n">
        <v>7</v>
      </c>
      <c r="G64" s="52" t="inlineStr">
        <is>
          <t>Estéril</t>
        </is>
      </c>
      <c r="H64" s="52" t="n">
        <v>30</v>
      </c>
      <c r="I64" s="52" t="n">
        <v>210</v>
      </c>
      <c r="J64" s="52" t="inlineStr">
        <is>
          <t>EX-V0120</t>
        </is>
      </c>
    </row>
    <row r="65">
      <c r="A65" s="51" t="n">
        <v>46255</v>
      </c>
      <c r="B65" s="52" t="inlineStr">
        <is>
          <t>CB-11</t>
        </is>
      </c>
      <c r="C65" s="52" t="inlineStr">
        <is>
          <t>Saulo</t>
        </is>
      </c>
      <c r="D65" s="52" t="inlineStr">
        <is>
          <t>01</t>
        </is>
      </c>
      <c r="E65" s="52" t="inlineStr">
        <is>
          <t>02</t>
        </is>
      </c>
      <c r="F65" s="52" t="n">
        <v>5</v>
      </c>
      <c r="G65" s="52" t="inlineStr">
        <is>
          <t>Rejeito</t>
        </is>
      </c>
      <c r="H65" s="52" t="n">
        <v>28</v>
      </c>
      <c r="I65" s="52" t="n">
        <v>140</v>
      </c>
      <c r="J65" s="52" t="inlineStr">
        <is>
          <t>EX-V0121</t>
        </is>
      </c>
    </row>
    <row r="66">
      <c r="A66" s="51" t="n">
        <v>46255</v>
      </c>
      <c r="B66" s="52" t="inlineStr">
        <is>
          <t>CB-17</t>
        </is>
      </c>
      <c r="C66" s="52" t="inlineStr">
        <is>
          <t>José</t>
        </is>
      </c>
      <c r="D66" s="52" t="inlineStr">
        <is>
          <t>01</t>
        </is>
      </c>
      <c r="E66" s="52" t="inlineStr">
        <is>
          <t>02</t>
        </is>
      </c>
      <c r="F66" s="52" t="n">
        <v>5</v>
      </c>
      <c r="G66" s="52" t="inlineStr">
        <is>
          <t>Minério</t>
        </is>
      </c>
      <c r="H66" s="52" t="n">
        <v>28</v>
      </c>
      <c r="I66" s="52" t="n">
        <v>140</v>
      </c>
      <c r="J66" s="52" t="inlineStr">
        <is>
          <t>EX-V0122</t>
        </is>
      </c>
    </row>
    <row r="67">
      <c r="A67" s="51" t="n">
        <v>46255</v>
      </c>
      <c r="B67" s="52" t="inlineStr">
        <is>
          <t>CB-22</t>
        </is>
      </c>
      <c r="C67" s="52" t="inlineStr">
        <is>
          <t>Carlos</t>
        </is>
      </c>
      <c r="D67" s="52" t="inlineStr">
        <is>
          <t>01</t>
        </is>
      </c>
      <c r="E67" s="52" t="inlineStr">
        <is>
          <t>02</t>
        </is>
      </c>
      <c r="F67" s="52" t="n">
        <v>9</v>
      </c>
      <c r="G67" s="52" t="inlineStr">
        <is>
          <t>Estéril</t>
        </is>
      </c>
      <c r="H67" s="52" t="n">
        <v>32</v>
      </c>
      <c r="I67" s="52" t="n">
        <v>288</v>
      </c>
      <c r="J67" s="52" t="inlineStr">
        <is>
          <t>EX-V0123</t>
        </is>
      </c>
    </row>
    <row r="68">
      <c r="A68" s="51" t="n">
        <v>46256</v>
      </c>
      <c r="B68" s="52" t="inlineStr">
        <is>
          <t>CB-01</t>
        </is>
      </c>
      <c r="C68" s="52" t="inlineStr">
        <is>
          <t>Saulo</t>
        </is>
      </c>
      <c r="D68" s="52" t="inlineStr">
        <is>
          <t>01</t>
        </is>
      </c>
      <c r="E68" s="52" t="inlineStr">
        <is>
          <t>02</t>
        </is>
      </c>
      <c r="F68" s="52" t="n">
        <v>8</v>
      </c>
      <c r="G68" s="52" t="inlineStr">
        <is>
          <t>Rejeito</t>
        </is>
      </c>
      <c r="H68" s="52" t="n">
        <v>28</v>
      </c>
      <c r="I68" s="52" t="n">
        <v>224</v>
      </c>
      <c r="J68" s="52" t="inlineStr">
        <is>
          <t>EX-V0127</t>
        </is>
      </c>
    </row>
    <row r="69">
      <c r="A69" s="51" t="n">
        <v>46256</v>
      </c>
      <c r="B69" s="52" t="inlineStr">
        <is>
          <t>CB-11</t>
        </is>
      </c>
      <c r="C69" s="52" t="inlineStr">
        <is>
          <t>José</t>
        </is>
      </c>
      <c r="D69" s="52" t="inlineStr">
        <is>
          <t>01</t>
        </is>
      </c>
      <c r="E69" s="52" t="inlineStr">
        <is>
          <t>02</t>
        </is>
      </c>
      <c r="F69" s="52" t="n">
        <v>5</v>
      </c>
      <c r="G69" s="52" t="inlineStr">
        <is>
          <t>Minério</t>
        </is>
      </c>
      <c r="H69" s="52" t="n">
        <v>30</v>
      </c>
      <c r="I69" s="52" t="n">
        <v>150</v>
      </c>
      <c r="J69" s="52" t="inlineStr">
        <is>
          <t>EX-V0128</t>
        </is>
      </c>
    </row>
    <row r="70">
      <c r="A70" s="51" t="n">
        <v>46256</v>
      </c>
      <c r="B70" s="52" t="inlineStr">
        <is>
          <t>CB-17</t>
        </is>
      </c>
      <c r="C70" s="52" t="inlineStr">
        <is>
          <t>Carlos</t>
        </is>
      </c>
      <c r="D70" s="52" t="inlineStr">
        <is>
          <t>01</t>
        </is>
      </c>
      <c r="E70" s="52" t="inlineStr">
        <is>
          <t>02</t>
        </is>
      </c>
      <c r="F70" s="52" t="n">
        <v>8</v>
      </c>
      <c r="G70" s="52" t="inlineStr">
        <is>
          <t>Estéril</t>
        </is>
      </c>
      <c r="H70" s="52" t="n">
        <v>28</v>
      </c>
      <c r="I70" s="52" t="n">
        <v>224</v>
      </c>
      <c r="J70" s="52" t="inlineStr">
        <is>
          <t>EX-V0129</t>
        </is>
      </c>
    </row>
    <row r="71">
      <c r="A71" s="51" t="n">
        <v>46256</v>
      </c>
      <c r="B71" s="52" t="inlineStr">
        <is>
          <t>CB-22</t>
        </is>
      </c>
      <c r="C71" s="52" t="inlineStr">
        <is>
          <t>Antônio</t>
        </is>
      </c>
      <c r="D71" s="52" t="inlineStr">
        <is>
          <t>01</t>
        </is>
      </c>
      <c r="E71" s="52" t="inlineStr">
        <is>
          <t>02</t>
        </is>
      </c>
      <c r="F71" s="52" t="n">
        <v>6</v>
      </c>
      <c r="G71" s="52" t="inlineStr">
        <is>
          <t>Rejeito</t>
        </is>
      </c>
      <c r="H71" s="52" t="n">
        <v>28</v>
      </c>
      <c r="I71" s="52" t="n">
        <v>168</v>
      </c>
      <c r="J71" s="52" t="inlineStr">
        <is>
          <t>EX-V0130</t>
        </is>
      </c>
    </row>
    <row r="72">
      <c r="A72" s="51" t="n">
        <v>46258</v>
      </c>
      <c r="B72" s="52" t="inlineStr">
        <is>
          <t>CB-01</t>
        </is>
      </c>
      <c r="C72" s="52" t="inlineStr">
        <is>
          <t>Carlos</t>
        </is>
      </c>
      <c r="D72" s="52" t="inlineStr">
        <is>
          <t>01</t>
        </is>
      </c>
      <c r="E72" s="52" t="inlineStr">
        <is>
          <t>02</t>
        </is>
      </c>
      <c r="F72" s="52" t="n">
        <v>11</v>
      </c>
      <c r="G72" s="52" t="inlineStr">
        <is>
          <t>Estéril</t>
        </is>
      </c>
      <c r="H72" s="52" t="n">
        <v>30</v>
      </c>
      <c r="I72" s="52" t="n">
        <v>330</v>
      </c>
      <c r="J72" s="52" t="inlineStr">
        <is>
          <t>EX-V0135</t>
        </is>
      </c>
    </row>
    <row r="73">
      <c r="A73" s="51" t="n">
        <v>46258</v>
      </c>
      <c r="B73" s="52" t="inlineStr">
        <is>
          <t>CB-11</t>
        </is>
      </c>
      <c r="C73" s="52" t="inlineStr">
        <is>
          <t>Antônio</t>
        </is>
      </c>
      <c r="D73" s="52" t="inlineStr">
        <is>
          <t>01</t>
        </is>
      </c>
      <c r="E73" s="52" t="inlineStr">
        <is>
          <t>02</t>
        </is>
      </c>
      <c r="F73" s="52" t="n">
        <v>7</v>
      </c>
      <c r="G73" s="52" t="inlineStr">
        <is>
          <t>Rejeito</t>
        </is>
      </c>
      <c r="H73" s="52" t="n">
        <v>28</v>
      </c>
      <c r="I73" s="52" t="n">
        <v>196</v>
      </c>
      <c r="J73" s="52" t="inlineStr">
        <is>
          <t>EX-V0136</t>
        </is>
      </c>
    </row>
    <row r="74">
      <c r="A74" s="51" t="n">
        <v>46258</v>
      </c>
      <c r="B74" s="52" t="inlineStr">
        <is>
          <t>CB-17</t>
        </is>
      </c>
      <c r="C74" s="52" t="inlineStr">
        <is>
          <t>Marcos</t>
        </is>
      </c>
      <c r="D74" s="52" t="inlineStr">
        <is>
          <t>01</t>
        </is>
      </c>
      <c r="E74" s="52" t="inlineStr">
        <is>
          <t>02</t>
        </is>
      </c>
      <c r="F74" s="52" t="n">
        <v>11</v>
      </c>
      <c r="G74" s="52" t="inlineStr">
        <is>
          <t>Minério</t>
        </is>
      </c>
      <c r="H74" s="52" t="n">
        <v>32</v>
      </c>
      <c r="I74" s="52" t="n">
        <v>352</v>
      </c>
      <c r="J74" s="52" t="inlineStr">
        <is>
          <t>EX-V0137</t>
        </is>
      </c>
    </row>
    <row r="75">
      <c r="A75" s="51" t="n">
        <v>46258</v>
      </c>
      <c r="B75" s="52" t="inlineStr">
        <is>
          <t>CB-22</t>
        </is>
      </c>
      <c r="C75" s="52" t="inlineStr">
        <is>
          <t>Saulo</t>
        </is>
      </c>
      <c r="D75" s="52" t="inlineStr">
        <is>
          <t>01</t>
        </is>
      </c>
      <c r="E75" s="52" t="inlineStr">
        <is>
          <t>02</t>
        </is>
      </c>
      <c r="F75" s="52" t="n">
        <v>5</v>
      </c>
      <c r="G75" s="52" t="inlineStr">
        <is>
          <t>Estéril</t>
        </is>
      </c>
      <c r="H75" s="52" t="n">
        <v>32</v>
      </c>
      <c r="I75" s="52" t="n">
        <v>160</v>
      </c>
      <c r="J75" s="52" t="inlineStr">
        <is>
          <t>EX-V0138</t>
        </is>
      </c>
    </row>
    <row r="76">
      <c r="A76" s="51" t="n">
        <v>46259</v>
      </c>
      <c r="B76" s="52" t="inlineStr">
        <is>
          <t>CB-01</t>
        </is>
      </c>
      <c r="C76" s="52" t="inlineStr">
        <is>
          <t>Antônio</t>
        </is>
      </c>
      <c r="D76" s="52" t="inlineStr">
        <is>
          <t>01</t>
        </is>
      </c>
      <c r="E76" s="52" t="inlineStr">
        <is>
          <t>02</t>
        </is>
      </c>
      <c r="F76" s="52" t="n">
        <v>5</v>
      </c>
      <c r="G76" s="52" t="inlineStr">
        <is>
          <t>Rejeito</t>
        </is>
      </c>
      <c r="H76" s="52" t="n">
        <v>32</v>
      </c>
      <c r="I76" s="52" t="n">
        <v>160</v>
      </c>
      <c r="J76" s="52" t="inlineStr">
        <is>
          <t>EX-V0143</t>
        </is>
      </c>
    </row>
    <row r="77">
      <c r="A77" s="51" t="n">
        <v>46259</v>
      </c>
      <c r="B77" s="52" t="inlineStr">
        <is>
          <t>CB-11</t>
        </is>
      </c>
      <c r="C77" s="52" t="inlineStr">
        <is>
          <t>Marcos</t>
        </is>
      </c>
      <c r="D77" s="52" t="inlineStr">
        <is>
          <t>01</t>
        </is>
      </c>
      <c r="E77" s="52" t="inlineStr">
        <is>
          <t>02</t>
        </is>
      </c>
      <c r="F77" s="52" t="n">
        <v>12</v>
      </c>
      <c r="G77" s="52" t="inlineStr">
        <is>
          <t>Minério</t>
        </is>
      </c>
      <c r="H77" s="52" t="n">
        <v>28</v>
      </c>
      <c r="I77" s="52" t="n">
        <v>336</v>
      </c>
      <c r="J77" s="52" t="inlineStr">
        <is>
          <t>EX-V0144</t>
        </is>
      </c>
    </row>
    <row r="78">
      <c r="A78" s="51" t="n">
        <v>46259</v>
      </c>
      <c r="B78" s="52" t="inlineStr">
        <is>
          <t>CB-17</t>
        </is>
      </c>
      <c r="C78" s="52" t="inlineStr">
        <is>
          <t>Saulo</t>
        </is>
      </c>
      <c r="D78" s="52" t="inlineStr">
        <is>
          <t>01</t>
        </is>
      </c>
      <c r="E78" s="52" t="inlineStr">
        <is>
          <t>02</t>
        </is>
      </c>
      <c r="F78" s="52" t="n">
        <v>6</v>
      </c>
      <c r="G78" s="52" t="inlineStr">
        <is>
          <t>Estéril</t>
        </is>
      </c>
      <c r="H78" s="52" t="n">
        <v>32</v>
      </c>
      <c r="I78" s="52" t="n">
        <v>192</v>
      </c>
      <c r="J78" s="52" t="inlineStr">
        <is>
          <t>EX-V0145</t>
        </is>
      </c>
    </row>
    <row r="79">
      <c r="A79" s="51" t="n">
        <v>46259</v>
      </c>
      <c r="B79" s="52" t="inlineStr">
        <is>
          <t>CB-22</t>
        </is>
      </c>
      <c r="C79" s="52" t="inlineStr">
        <is>
          <t>José</t>
        </is>
      </c>
      <c r="D79" s="52" t="inlineStr">
        <is>
          <t>01</t>
        </is>
      </c>
      <c r="E79" s="52" t="inlineStr">
        <is>
          <t>02</t>
        </is>
      </c>
      <c r="F79" s="52" t="n">
        <v>9</v>
      </c>
      <c r="G79" s="52" t="inlineStr">
        <is>
          <t>Rejeito</t>
        </is>
      </c>
      <c r="H79" s="52" t="n">
        <v>28</v>
      </c>
      <c r="I79" s="52" t="n">
        <v>252</v>
      </c>
      <c r="J79" s="52" t="inlineStr">
        <is>
          <t>EX-V0146</t>
        </is>
      </c>
    </row>
    <row r="80">
      <c r="A80" s="51" t="n">
        <v>46260</v>
      </c>
      <c r="B80" s="52" t="inlineStr">
        <is>
          <t>CB-01</t>
        </is>
      </c>
      <c r="C80" s="52" t="inlineStr">
        <is>
          <t>Marcos</t>
        </is>
      </c>
      <c r="D80" s="52" t="inlineStr">
        <is>
          <t>01</t>
        </is>
      </c>
      <c r="E80" s="52" t="inlineStr">
        <is>
          <t>02</t>
        </is>
      </c>
      <c r="F80" s="52" t="n">
        <v>6</v>
      </c>
      <c r="G80" s="52" t="inlineStr">
        <is>
          <t>Minério</t>
        </is>
      </c>
      <c r="H80" s="52" t="n">
        <v>32</v>
      </c>
      <c r="I80" s="52" t="n">
        <v>192</v>
      </c>
      <c r="J80" s="52" t="inlineStr">
        <is>
          <t>EX-V0151</t>
        </is>
      </c>
    </row>
    <row r="81">
      <c r="A81" s="51" t="n">
        <v>46260</v>
      </c>
      <c r="B81" s="52" t="inlineStr">
        <is>
          <t>CB-11</t>
        </is>
      </c>
      <c r="C81" s="52" t="inlineStr">
        <is>
          <t>Saulo</t>
        </is>
      </c>
      <c r="D81" s="52" t="inlineStr">
        <is>
          <t>01</t>
        </is>
      </c>
      <c r="E81" s="52" t="inlineStr">
        <is>
          <t>02</t>
        </is>
      </c>
      <c r="F81" s="52" t="n">
        <v>9</v>
      </c>
      <c r="G81" s="52" t="inlineStr">
        <is>
          <t>Estéril</t>
        </is>
      </c>
      <c r="H81" s="52" t="n">
        <v>32</v>
      </c>
      <c r="I81" s="52" t="n">
        <v>288</v>
      </c>
      <c r="J81" s="52" t="inlineStr">
        <is>
          <t>EX-V0152</t>
        </is>
      </c>
    </row>
    <row r="82">
      <c r="A82" s="51" t="n">
        <v>46260</v>
      </c>
      <c r="B82" s="52" t="inlineStr">
        <is>
          <t>CB-17</t>
        </is>
      </c>
      <c r="C82" s="52" t="inlineStr">
        <is>
          <t>José</t>
        </is>
      </c>
      <c r="D82" s="52" t="inlineStr">
        <is>
          <t>01</t>
        </is>
      </c>
      <c r="E82" s="52" t="inlineStr">
        <is>
          <t>02</t>
        </is>
      </c>
      <c r="F82" s="52" t="n">
        <v>9</v>
      </c>
      <c r="G82" s="52" t="inlineStr">
        <is>
          <t>Rejeito</t>
        </is>
      </c>
      <c r="H82" s="52" t="n">
        <v>32</v>
      </c>
      <c r="I82" s="52" t="n">
        <v>288</v>
      </c>
      <c r="J82" s="52" t="inlineStr">
        <is>
          <t>EX-V0153</t>
        </is>
      </c>
    </row>
    <row r="83">
      <c r="A83" s="51" t="n">
        <v>46260</v>
      </c>
      <c r="B83" s="52" t="inlineStr">
        <is>
          <t>CB-22</t>
        </is>
      </c>
      <c r="C83" s="52" t="inlineStr">
        <is>
          <t>Carlos</t>
        </is>
      </c>
      <c r="D83" s="52" t="inlineStr">
        <is>
          <t>01</t>
        </is>
      </c>
      <c r="E83" s="52" t="inlineStr">
        <is>
          <t>02</t>
        </is>
      </c>
      <c r="F83" s="52" t="n">
        <v>9</v>
      </c>
      <c r="G83" s="52" t="inlineStr">
        <is>
          <t>Minério</t>
        </is>
      </c>
      <c r="H83" s="52" t="n">
        <v>30</v>
      </c>
      <c r="I83" s="52" t="n">
        <v>270</v>
      </c>
      <c r="J83" s="52" t="inlineStr">
        <is>
          <t>EX-V0154</t>
        </is>
      </c>
    </row>
    <row r="84">
      <c r="A84" s="51" t="n">
        <v>46261</v>
      </c>
      <c r="B84" s="52" t="inlineStr">
        <is>
          <t>CB-01</t>
        </is>
      </c>
      <c r="C84" s="52" t="inlineStr">
        <is>
          <t>Saulo</t>
        </is>
      </c>
      <c r="D84" s="52" t="inlineStr">
        <is>
          <t>01</t>
        </is>
      </c>
      <c r="E84" s="52" t="inlineStr">
        <is>
          <t>02</t>
        </is>
      </c>
      <c r="F84" s="52" t="n">
        <v>12</v>
      </c>
      <c r="G84" s="52" t="inlineStr">
        <is>
          <t>Estéril</t>
        </is>
      </c>
      <c r="H84" s="52" t="n">
        <v>30</v>
      </c>
      <c r="I84" s="52" t="n">
        <v>360</v>
      </c>
      <c r="J84" s="52" t="inlineStr">
        <is>
          <t>EX-V0158</t>
        </is>
      </c>
    </row>
    <row r="85">
      <c r="A85" s="51" t="n">
        <v>46261</v>
      </c>
      <c r="B85" s="52" t="inlineStr">
        <is>
          <t>CB-11</t>
        </is>
      </c>
      <c r="C85" s="52" t="inlineStr">
        <is>
          <t>José</t>
        </is>
      </c>
      <c r="D85" s="52" t="inlineStr">
        <is>
          <t>01</t>
        </is>
      </c>
      <c r="E85" s="52" t="inlineStr">
        <is>
          <t>02</t>
        </is>
      </c>
      <c r="F85" s="52" t="n">
        <v>6</v>
      </c>
      <c r="G85" s="52" t="inlineStr">
        <is>
          <t>Rejeito</t>
        </is>
      </c>
      <c r="H85" s="52" t="n">
        <v>32</v>
      </c>
      <c r="I85" s="52" t="n">
        <v>192</v>
      </c>
      <c r="J85" s="52" t="inlineStr">
        <is>
          <t>EX-V0159</t>
        </is>
      </c>
    </row>
    <row r="86">
      <c r="A86" s="51" t="n">
        <v>46261</v>
      </c>
      <c r="B86" s="52" t="inlineStr">
        <is>
          <t>CB-17</t>
        </is>
      </c>
      <c r="C86" s="52" t="inlineStr">
        <is>
          <t>Carlos</t>
        </is>
      </c>
      <c r="D86" s="52" t="inlineStr">
        <is>
          <t>01</t>
        </is>
      </c>
      <c r="E86" s="52" t="inlineStr">
        <is>
          <t>02</t>
        </is>
      </c>
      <c r="F86" s="52" t="n">
        <v>10</v>
      </c>
      <c r="G86" s="52" t="inlineStr">
        <is>
          <t>Minério</t>
        </is>
      </c>
      <c r="H86" s="52" t="n">
        <v>28</v>
      </c>
      <c r="I86" s="52" t="n">
        <v>280</v>
      </c>
      <c r="J86" s="52" t="inlineStr">
        <is>
          <t>EX-V0160</t>
        </is>
      </c>
    </row>
    <row r="87">
      <c r="A87" s="51" t="n">
        <v>46261</v>
      </c>
      <c r="B87" s="52" t="inlineStr">
        <is>
          <t>CB-22</t>
        </is>
      </c>
      <c r="C87" s="52" t="inlineStr">
        <is>
          <t>Antônio</t>
        </is>
      </c>
      <c r="D87" s="52" t="inlineStr">
        <is>
          <t>01</t>
        </is>
      </c>
      <c r="E87" s="52" t="inlineStr">
        <is>
          <t>02</t>
        </is>
      </c>
      <c r="F87" s="52" t="n">
        <v>6</v>
      </c>
      <c r="G87" s="52" t="inlineStr">
        <is>
          <t>Estéril</t>
        </is>
      </c>
      <c r="H87" s="52" t="n">
        <v>32</v>
      </c>
      <c r="I87" s="52" t="n">
        <v>192</v>
      </c>
      <c r="J87" s="52" t="inlineStr">
        <is>
          <t>EX-V0161</t>
        </is>
      </c>
    </row>
    <row r="88">
      <c r="A88" s="51" t="n">
        <v>46262</v>
      </c>
      <c r="B88" s="52" t="inlineStr">
        <is>
          <t>CB-01</t>
        </is>
      </c>
      <c r="C88" s="52" t="inlineStr">
        <is>
          <t>José</t>
        </is>
      </c>
      <c r="D88" s="52" t="inlineStr">
        <is>
          <t>01</t>
        </is>
      </c>
      <c r="E88" s="52" t="inlineStr">
        <is>
          <t>02</t>
        </is>
      </c>
      <c r="F88" s="52" t="n">
        <v>6</v>
      </c>
      <c r="G88" s="52" t="inlineStr">
        <is>
          <t>Rejeito</t>
        </is>
      </c>
      <c r="H88" s="52" t="n">
        <v>30</v>
      </c>
      <c r="I88" s="52" t="n">
        <v>180</v>
      </c>
      <c r="J88" s="52" t="inlineStr">
        <is>
          <t>EX-V0166</t>
        </is>
      </c>
    </row>
    <row r="89">
      <c r="A89" s="51" t="n">
        <v>46262</v>
      </c>
      <c r="B89" s="52" t="inlineStr">
        <is>
          <t>CB-11</t>
        </is>
      </c>
      <c r="C89" s="52" t="inlineStr">
        <is>
          <t>Carlos</t>
        </is>
      </c>
      <c r="D89" s="52" t="inlineStr">
        <is>
          <t>01</t>
        </is>
      </c>
      <c r="E89" s="52" t="inlineStr">
        <is>
          <t>02</t>
        </is>
      </c>
      <c r="F89" s="52" t="n">
        <v>6</v>
      </c>
      <c r="G89" s="52" t="inlineStr">
        <is>
          <t>Minério</t>
        </is>
      </c>
      <c r="H89" s="52" t="n">
        <v>28</v>
      </c>
      <c r="I89" s="52" t="n">
        <v>168</v>
      </c>
      <c r="J89" s="52" t="inlineStr">
        <is>
          <t>EX-V0167</t>
        </is>
      </c>
    </row>
    <row r="90">
      <c r="A90" s="51" t="n">
        <v>46262</v>
      </c>
      <c r="B90" s="52" t="inlineStr">
        <is>
          <t>CB-17</t>
        </is>
      </c>
      <c r="C90" s="52" t="inlineStr">
        <is>
          <t>Antônio</t>
        </is>
      </c>
      <c r="D90" s="52" t="inlineStr">
        <is>
          <t>01</t>
        </is>
      </c>
      <c r="E90" s="52" t="inlineStr">
        <is>
          <t>02</t>
        </is>
      </c>
      <c r="F90" s="52" t="n">
        <v>10</v>
      </c>
      <c r="G90" s="52" t="inlineStr">
        <is>
          <t>Estéril</t>
        </is>
      </c>
      <c r="H90" s="52" t="n">
        <v>28</v>
      </c>
      <c r="I90" s="52" t="n">
        <v>280</v>
      </c>
      <c r="J90" s="52" t="inlineStr">
        <is>
          <t>EX-V0168</t>
        </is>
      </c>
    </row>
    <row r="91">
      <c r="A91" s="51" t="n">
        <v>46262</v>
      </c>
      <c r="B91" s="52" t="inlineStr">
        <is>
          <t>CB-22</t>
        </is>
      </c>
      <c r="C91" s="52" t="inlineStr">
        <is>
          <t>Marcos</t>
        </is>
      </c>
      <c r="D91" s="52" t="inlineStr">
        <is>
          <t>01</t>
        </is>
      </c>
      <c r="E91" s="52" t="inlineStr">
        <is>
          <t>02</t>
        </is>
      </c>
      <c r="F91" s="52" t="n">
        <v>10</v>
      </c>
      <c r="G91" s="52" t="inlineStr">
        <is>
          <t>Rejeito</t>
        </is>
      </c>
      <c r="H91" s="52" t="n">
        <v>30</v>
      </c>
      <c r="I91" s="52" t="n">
        <v>300</v>
      </c>
      <c r="J91" s="52" t="inlineStr">
        <is>
          <t>EX-V0169</t>
        </is>
      </c>
    </row>
    <row r="92">
      <c r="A92" s="51" t="n">
        <v>46263</v>
      </c>
      <c r="B92" s="52" t="inlineStr">
        <is>
          <t>CB-01</t>
        </is>
      </c>
      <c r="C92" s="52" t="inlineStr">
        <is>
          <t>Carlos</t>
        </is>
      </c>
      <c r="D92" s="52" t="inlineStr">
        <is>
          <t>01</t>
        </is>
      </c>
      <c r="E92" s="52" t="inlineStr">
        <is>
          <t>02</t>
        </is>
      </c>
      <c r="F92" s="52" t="n">
        <v>11</v>
      </c>
      <c r="G92" s="52" t="inlineStr">
        <is>
          <t>Minério</t>
        </is>
      </c>
      <c r="H92" s="52" t="n">
        <v>28</v>
      </c>
      <c r="I92" s="52" t="n">
        <v>308</v>
      </c>
      <c r="J92" s="52" t="inlineStr">
        <is>
          <t>EX-V0174</t>
        </is>
      </c>
    </row>
    <row r="93">
      <c r="A93" s="51" t="n">
        <v>46263</v>
      </c>
      <c r="B93" s="52" t="inlineStr">
        <is>
          <t>CB-11</t>
        </is>
      </c>
      <c r="C93" s="52" t="inlineStr">
        <is>
          <t>Antônio</t>
        </is>
      </c>
      <c r="D93" s="52" t="inlineStr">
        <is>
          <t>01</t>
        </is>
      </c>
      <c r="E93" s="52" t="inlineStr">
        <is>
          <t>02</t>
        </is>
      </c>
      <c r="F93" s="52" t="n">
        <v>8</v>
      </c>
      <c r="G93" s="52" t="inlineStr">
        <is>
          <t>Estéril</t>
        </is>
      </c>
      <c r="H93" s="52" t="n">
        <v>32</v>
      </c>
      <c r="I93" s="52" t="n">
        <v>256</v>
      </c>
      <c r="J93" s="52" t="inlineStr">
        <is>
          <t>EX-V0175</t>
        </is>
      </c>
    </row>
    <row r="94">
      <c r="A94" s="51" t="n">
        <v>46263</v>
      </c>
      <c r="B94" s="52" t="inlineStr">
        <is>
          <t>CB-17</t>
        </is>
      </c>
      <c r="C94" s="52" t="inlineStr">
        <is>
          <t>Marcos</t>
        </is>
      </c>
      <c r="D94" s="52" t="inlineStr">
        <is>
          <t>01</t>
        </is>
      </c>
      <c r="E94" s="52" t="inlineStr">
        <is>
          <t>02</t>
        </is>
      </c>
      <c r="F94" s="52" t="n">
        <v>7</v>
      </c>
      <c r="G94" s="52" t="inlineStr">
        <is>
          <t>Rejeito</t>
        </is>
      </c>
      <c r="H94" s="52" t="n">
        <v>32</v>
      </c>
      <c r="I94" s="52" t="n">
        <v>224</v>
      </c>
      <c r="J94" s="52" t="inlineStr">
        <is>
          <t>EX-V0176</t>
        </is>
      </c>
    </row>
    <row r="95">
      <c r="A95" s="51" t="n">
        <v>46263</v>
      </c>
      <c r="B95" s="52" t="inlineStr">
        <is>
          <t>CB-22</t>
        </is>
      </c>
      <c r="C95" s="52" t="inlineStr">
        <is>
          <t>Saulo</t>
        </is>
      </c>
      <c r="D95" s="52" t="inlineStr">
        <is>
          <t>01</t>
        </is>
      </c>
      <c r="E95" s="52" t="inlineStr">
        <is>
          <t>02</t>
        </is>
      </c>
      <c r="F95" s="52" t="n">
        <v>7</v>
      </c>
      <c r="G95" s="52" t="inlineStr">
        <is>
          <t>Minério</t>
        </is>
      </c>
      <c r="H95" s="52" t="n">
        <v>28</v>
      </c>
      <c r="I95" s="52" t="n">
        <v>196</v>
      </c>
      <c r="J95" s="52" t="inlineStr">
        <is>
          <t>EX-V0177</t>
        </is>
      </c>
    </row>
    <row r="96">
      <c r="A96" s="51" t="n">
        <v>46265</v>
      </c>
      <c r="B96" s="52" t="inlineStr">
        <is>
          <t>CB-01</t>
        </is>
      </c>
      <c r="C96" s="52" t="inlineStr">
        <is>
          <t>Marcos</t>
        </is>
      </c>
      <c r="D96" s="52" t="inlineStr">
        <is>
          <t>01</t>
        </is>
      </c>
      <c r="E96" s="52" t="inlineStr">
        <is>
          <t>02</t>
        </is>
      </c>
      <c r="F96" s="52" t="n">
        <v>7</v>
      </c>
      <c r="G96" s="52" t="inlineStr">
        <is>
          <t>Rejeito</t>
        </is>
      </c>
      <c r="H96" s="52" t="n">
        <v>28</v>
      </c>
      <c r="I96" s="52" t="n">
        <v>196</v>
      </c>
      <c r="J96" s="52" t="inlineStr">
        <is>
          <t>EX-V0182</t>
        </is>
      </c>
    </row>
    <row r="97">
      <c r="A97" s="51" t="n">
        <v>46265</v>
      </c>
      <c r="B97" s="52" t="inlineStr">
        <is>
          <t>CB-11</t>
        </is>
      </c>
      <c r="C97" s="52" t="inlineStr">
        <is>
          <t>Saulo</t>
        </is>
      </c>
      <c r="D97" s="52" t="inlineStr">
        <is>
          <t>01</t>
        </is>
      </c>
      <c r="E97" s="52" t="inlineStr">
        <is>
          <t>02</t>
        </is>
      </c>
      <c r="F97" s="52" t="n">
        <v>8</v>
      </c>
      <c r="G97" s="52" t="inlineStr">
        <is>
          <t>Minério</t>
        </is>
      </c>
      <c r="H97" s="52" t="n">
        <v>30</v>
      </c>
      <c r="I97" s="52" t="n">
        <v>240</v>
      </c>
      <c r="J97" s="52" t="inlineStr">
        <is>
          <t>EX-V0183</t>
        </is>
      </c>
    </row>
    <row r="98">
      <c r="A98" s="51" t="n">
        <v>46265</v>
      </c>
      <c r="B98" s="52" t="inlineStr">
        <is>
          <t>CB-17</t>
        </is>
      </c>
      <c r="C98" s="52" t="inlineStr">
        <is>
          <t>José</t>
        </is>
      </c>
      <c r="D98" s="52" t="inlineStr">
        <is>
          <t>01</t>
        </is>
      </c>
      <c r="E98" s="52" t="inlineStr">
        <is>
          <t>02</t>
        </is>
      </c>
      <c r="F98" s="52" t="n">
        <v>7</v>
      </c>
      <c r="G98" s="52" t="inlineStr">
        <is>
          <t>Estéril</t>
        </is>
      </c>
      <c r="H98" s="52" t="n">
        <v>32</v>
      </c>
      <c r="I98" s="52" t="n">
        <v>224</v>
      </c>
      <c r="J98" s="52" t="inlineStr">
        <is>
          <t>EX-V0184</t>
        </is>
      </c>
    </row>
    <row r="99">
      <c r="A99" s="51" t="n">
        <v>46266</v>
      </c>
      <c r="B99" s="52" t="inlineStr">
        <is>
          <t>CB-01</t>
        </is>
      </c>
      <c r="C99" s="52" t="inlineStr">
        <is>
          <t>Saulo</t>
        </is>
      </c>
      <c r="D99" s="52" t="inlineStr">
        <is>
          <t>01</t>
        </is>
      </c>
      <c r="E99" s="52" t="inlineStr">
        <is>
          <t>02</t>
        </is>
      </c>
      <c r="F99" s="52" t="n">
        <v>8</v>
      </c>
      <c r="G99" s="52" t="inlineStr">
        <is>
          <t>Minério</t>
        </is>
      </c>
      <c r="H99" s="52" t="n">
        <v>30</v>
      </c>
      <c r="I99" s="52" t="n">
        <v>240</v>
      </c>
      <c r="J99" s="52" t="inlineStr">
        <is>
          <t>EX-V0189</t>
        </is>
      </c>
    </row>
    <row r="100">
      <c r="A100" s="51" t="n">
        <v>46266</v>
      </c>
      <c r="B100" s="52" t="inlineStr">
        <is>
          <t>CB-11</t>
        </is>
      </c>
      <c r="C100" s="52" t="inlineStr">
        <is>
          <t>José</t>
        </is>
      </c>
      <c r="D100" s="52" t="inlineStr">
        <is>
          <t>01</t>
        </is>
      </c>
      <c r="E100" s="52" t="inlineStr">
        <is>
          <t>02</t>
        </is>
      </c>
      <c r="F100" s="52" t="n">
        <v>10</v>
      </c>
      <c r="G100" s="52" t="inlineStr">
        <is>
          <t>Estéril</t>
        </is>
      </c>
      <c r="H100" s="52" t="n">
        <v>28</v>
      </c>
      <c r="I100" s="52" t="n">
        <v>280</v>
      </c>
      <c r="J100" s="52" t="inlineStr">
        <is>
          <t>EX-V0190</t>
        </is>
      </c>
    </row>
    <row r="101">
      <c r="A101" s="51" t="n">
        <v>46266</v>
      </c>
      <c r="B101" s="52" t="inlineStr">
        <is>
          <t>CB-17</t>
        </is>
      </c>
      <c r="C101" s="52" t="inlineStr">
        <is>
          <t>Carlos</t>
        </is>
      </c>
      <c r="D101" s="52" t="inlineStr">
        <is>
          <t>01</t>
        </is>
      </c>
      <c r="E101" s="52" t="inlineStr">
        <is>
          <t>02</t>
        </is>
      </c>
      <c r="F101" s="52" t="n">
        <v>8</v>
      </c>
      <c r="G101" s="52" t="inlineStr">
        <is>
          <t>Rejeito</t>
        </is>
      </c>
      <c r="H101" s="52" t="n">
        <v>28</v>
      </c>
      <c r="I101" s="52" t="n">
        <v>224</v>
      </c>
      <c r="J101" s="52" t="inlineStr">
        <is>
          <t>EX-V0191</t>
        </is>
      </c>
    </row>
    <row r="102">
      <c r="A102" s="51" t="n">
        <v>46266</v>
      </c>
      <c r="B102" s="52" t="inlineStr">
        <is>
          <t>CB-22</t>
        </is>
      </c>
      <c r="C102" s="52" t="inlineStr">
        <is>
          <t>Antônio</t>
        </is>
      </c>
      <c r="D102" s="52" t="inlineStr">
        <is>
          <t>01</t>
        </is>
      </c>
      <c r="E102" s="52" t="inlineStr">
        <is>
          <t>02</t>
        </is>
      </c>
      <c r="F102" s="52" t="n">
        <v>12</v>
      </c>
      <c r="G102" s="52" t="inlineStr">
        <is>
          <t>Minério</t>
        </is>
      </c>
      <c r="H102" s="52" t="n">
        <v>30</v>
      </c>
      <c r="I102" s="52" t="n">
        <v>360</v>
      </c>
      <c r="J102" s="52" t="inlineStr">
        <is>
          <t>EX-V0192</t>
        </is>
      </c>
    </row>
    <row r="103">
      <c r="A103" s="51" t="n">
        <v>46267</v>
      </c>
      <c r="B103" s="52" t="inlineStr">
        <is>
          <t>CB-01</t>
        </is>
      </c>
      <c r="C103" s="52" t="inlineStr">
        <is>
          <t>José</t>
        </is>
      </c>
      <c r="D103" s="52" t="inlineStr">
        <is>
          <t>01</t>
        </is>
      </c>
      <c r="E103" s="52" t="inlineStr">
        <is>
          <t>02</t>
        </is>
      </c>
      <c r="F103" s="52" t="n">
        <v>12</v>
      </c>
      <c r="G103" s="52" t="inlineStr">
        <is>
          <t>Estéril</t>
        </is>
      </c>
      <c r="H103" s="52" t="n">
        <v>30</v>
      </c>
      <c r="I103" s="52" t="n">
        <v>360</v>
      </c>
      <c r="J103" s="52" t="inlineStr">
        <is>
          <t>EX-V0197</t>
        </is>
      </c>
    </row>
    <row r="104">
      <c r="A104" s="51" t="n">
        <v>46267</v>
      </c>
      <c r="B104" s="52" t="inlineStr">
        <is>
          <t>CB-11</t>
        </is>
      </c>
      <c r="C104" s="52" t="inlineStr">
        <is>
          <t>Carlos</t>
        </is>
      </c>
      <c r="D104" s="52" t="inlineStr">
        <is>
          <t>01</t>
        </is>
      </c>
      <c r="E104" s="52" t="inlineStr">
        <is>
          <t>02</t>
        </is>
      </c>
      <c r="F104" s="52" t="n">
        <v>6</v>
      </c>
      <c r="G104" s="52" t="inlineStr">
        <is>
          <t>Rejeito</t>
        </is>
      </c>
      <c r="H104" s="52" t="n">
        <v>32</v>
      </c>
      <c r="I104" s="52" t="n">
        <v>192</v>
      </c>
      <c r="J104" s="52" t="inlineStr">
        <is>
          <t>EX-V0198</t>
        </is>
      </c>
    </row>
    <row r="105">
      <c r="A105" s="51" t="n">
        <v>46267</v>
      </c>
      <c r="B105" s="52" t="inlineStr">
        <is>
          <t>CB-17</t>
        </is>
      </c>
      <c r="C105" s="52" t="inlineStr">
        <is>
          <t>Antônio</t>
        </is>
      </c>
      <c r="D105" s="52" t="inlineStr">
        <is>
          <t>01</t>
        </is>
      </c>
      <c r="E105" s="52" t="inlineStr">
        <is>
          <t>02</t>
        </is>
      </c>
      <c r="F105" s="52" t="n">
        <v>6</v>
      </c>
      <c r="G105" s="52" t="inlineStr">
        <is>
          <t>Minério</t>
        </is>
      </c>
      <c r="H105" s="52" t="n">
        <v>32</v>
      </c>
      <c r="I105" s="52" t="n">
        <v>192</v>
      </c>
      <c r="J105" s="52" t="inlineStr">
        <is>
          <t>EX-V0199</t>
        </is>
      </c>
    </row>
    <row r="106">
      <c r="A106" s="51" t="n">
        <v>46267</v>
      </c>
      <c r="B106" s="52" t="inlineStr">
        <is>
          <t>CB-22</t>
        </is>
      </c>
      <c r="C106" s="52" t="inlineStr">
        <is>
          <t>Marcos</t>
        </is>
      </c>
      <c r="D106" s="52" t="inlineStr">
        <is>
          <t>01</t>
        </is>
      </c>
      <c r="E106" s="52" t="inlineStr">
        <is>
          <t>02</t>
        </is>
      </c>
      <c r="F106" s="52" t="n">
        <v>5</v>
      </c>
      <c r="G106" s="52" t="inlineStr">
        <is>
          <t>Estéril</t>
        </is>
      </c>
      <c r="H106" s="52" t="n">
        <v>32</v>
      </c>
      <c r="I106" s="52" t="n">
        <v>160</v>
      </c>
      <c r="J106" s="52" t="inlineStr">
        <is>
          <t>EX-V0200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4A3B8"/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1" customWidth="1" min="4" max="4"/>
    <col width="10" customWidth="1" min="5" max="5"/>
    <col width="13" customWidth="1" min="6" max="6"/>
    <col width="28" customWidth="1" min="7" max="7"/>
    <col width="26" customWidth="1" min="8" max="8"/>
    <col width="24" customWidth="1" min="9" max="9"/>
    <col width="16" customWidth="1" min="10" max="10"/>
    <col width="12" customWidth="1" min="11" max="11"/>
  </cols>
  <sheetData>
    <row r="1">
      <c r="A1" s="50" t="inlineStr">
        <is>
          <t>Manutenções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Data</t>
        </is>
      </c>
      <c r="B3" s="30" t="inlineStr">
        <is>
          <t>Equipamento</t>
        </is>
      </c>
      <c r="C3" s="30" t="inlineStr">
        <is>
          <t>Operador/Responsável</t>
        </is>
      </c>
      <c r="D3" s="30" t="inlineStr">
        <is>
          <t>Horímetro</t>
        </is>
      </c>
      <c r="E3" s="30" t="inlineStr">
        <is>
          <t>KM</t>
        </is>
      </c>
      <c r="F3" s="30" t="inlineStr">
        <is>
          <t>Tipo</t>
        </is>
      </c>
      <c r="G3" s="30" t="inlineStr">
        <is>
          <t>Serviço Realizado</t>
        </is>
      </c>
      <c r="H3" s="30" t="inlineStr">
        <is>
          <t>Peças/Trocas</t>
        </is>
      </c>
      <c r="I3" s="30" t="inlineStr">
        <is>
          <t>Observação</t>
        </is>
      </c>
      <c r="J3" s="30" t="inlineStr">
        <is>
          <t>Próxima Manutenção</t>
        </is>
      </c>
      <c r="K3" s="30" t="inlineStr">
        <is>
          <t>_id</t>
        </is>
      </c>
    </row>
    <row r="4">
      <c r="A4" s="51" t="n">
        <v>46245</v>
      </c>
      <c r="B4" s="52" t="inlineStr">
        <is>
          <t>MG-01</t>
        </is>
      </c>
      <c r="C4" s="52" t="inlineStr">
        <is>
          <t>Pedro</t>
        </is>
      </c>
      <c r="D4" s="52" t="inlineStr"/>
      <c r="E4" s="52" t="inlineStr"/>
      <c r="F4" s="52" t="inlineStr">
        <is>
          <t>Preventiva</t>
        </is>
      </c>
      <c r="G4" s="52" t="inlineStr">
        <is>
          <t>Troca de óleo e filtros</t>
        </is>
      </c>
      <c r="H4" s="52" t="inlineStr">
        <is>
          <t>Filtro de óleo, filtro de ar</t>
        </is>
      </c>
      <c r="I4" s="52" t="inlineStr">
        <is>
          <t>Revisão de rotina</t>
        </is>
      </c>
      <c r="J4" s="52" t="inlineStr"/>
      <c r="K4" s="52" t="inlineStr">
        <is>
          <t>EX-M001</t>
        </is>
      </c>
    </row>
    <row r="5">
      <c r="A5" s="51" t="n">
        <v>46255</v>
      </c>
      <c r="B5" s="52" t="inlineStr">
        <is>
          <t>PC-02</t>
        </is>
      </c>
      <c r="C5" s="52" t="inlineStr">
        <is>
          <t>Pedro</t>
        </is>
      </c>
      <c r="D5" s="52" t="inlineStr"/>
      <c r="E5" s="52" t="inlineStr"/>
      <c r="F5" s="52" t="inlineStr">
        <is>
          <t>Preventiva</t>
        </is>
      </c>
      <c r="G5" s="52" t="inlineStr">
        <is>
          <t>Troca de óleo e filtros</t>
        </is>
      </c>
      <c r="H5" s="52" t="inlineStr">
        <is>
          <t>Filtro de óleo, filtro de ar</t>
        </is>
      </c>
      <c r="I5" s="52" t="inlineStr">
        <is>
          <t>Revisão de rotina</t>
        </is>
      </c>
      <c r="J5" s="52" t="inlineStr"/>
      <c r="K5" s="52" t="inlineStr">
        <is>
          <t>EX-M002</t>
        </is>
      </c>
    </row>
    <row r="6">
      <c r="A6" s="51" t="n">
        <v>46260</v>
      </c>
      <c r="B6" s="52" t="inlineStr">
        <is>
          <t>PC-01</t>
        </is>
      </c>
      <c r="C6" s="52" t="inlineStr">
        <is>
          <t>Pedro</t>
        </is>
      </c>
      <c r="D6" s="52" t="inlineStr"/>
      <c r="E6" s="52" t="inlineStr"/>
      <c r="F6" s="52" t="inlineStr">
        <is>
          <t>Preventiva</t>
        </is>
      </c>
      <c r="G6" s="52" t="inlineStr">
        <is>
          <t>Troca de óleo e filtros</t>
        </is>
      </c>
      <c r="H6" s="52" t="inlineStr">
        <is>
          <t>Filtro de óleo, filtro de ar</t>
        </is>
      </c>
      <c r="I6" s="52" t="inlineStr">
        <is>
          <t>Revisão de rotina</t>
        </is>
      </c>
      <c r="J6" s="52" t="inlineStr"/>
      <c r="K6" s="52" t="inlineStr">
        <is>
          <t>EX-M003</t>
        </is>
      </c>
    </row>
    <row r="7">
      <c r="A7" s="51" t="n">
        <v>46265</v>
      </c>
      <c r="B7" s="52" t="inlineStr">
        <is>
          <t>CB-22</t>
        </is>
      </c>
      <c r="C7" s="52" t="inlineStr">
        <is>
          <t>Pedro</t>
        </is>
      </c>
      <c r="D7" s="52" t="inlineStr"/>
      <c r="E7" s="52" t="inlineStr"/>
      <c r="F7" s="52" t="inlineStr">
        <is>
          <t>Preventiva</t>
        </is>
      </c>
      <c r="G7" s="52" t="inlineStr">
        <is>
          <t>Troca de óleo e filtros</t>
        </is>
      </c>
      <c r="H7" s="52" t="inlineStr">
        <is>
          <t>Filtro de óleo, filtro de ar</t>
        </is>
      </c>
      <c r="I7" s="52" t="inlineStr">
        <is>
          <t>Revisão de rotina</t>
        </is>
      </c>
      <c r="J7" s="52" t="inlineStr"/>
      <c r="K7" s="52" t="inlineStr">
        <is>
          <t>EX-M004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4A3B8"/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50" t="inlineStr">
        <is>
          <t>Equipamentos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Código</t>
        </is>
      </c>
      <c r="B3" s="30" t="inlineStr">
        <is>
          <t>Tipo</t>
        </is>
      </c>
      <c r="C3" s="30" t="inlineStr">
        <is>
          <t>Modelo</t>
        </is>
      </c>
      <c r="D3" s="30" t="inlineStr">
        <is>
          <t>Status</t>
        </is>
      </c>
      <c r="E3" s="30" t="inlineStr">
        <is>
          <t>Horímetro Atual</t>
        </is>
      </c>
      <c r="F3" s="30" t="inlineStr">
        <is>
          <t>KM Atual</t>
        </is>
      </c>
      <c r="G3" s="30" t="inlineStr">
        <is>
          <t>_id</t>
        </is>
      </c>
    </row>
    <row r="4">
      <c r="A4" s="52" t="inlineStr">
        <is>
          <t>CB-01</t>
        </is>
      </c>
      <c r="B4" s="52" t="inlineStr">
        <is>
          <t>Rodante (km/L)</t>
        </is>
      </c>
      <c r="C4" s="52" t="inlineStr"/>
      <c r="D4" s="52" t="inlineStr">
        <is>
          <t>Operando</t>
        </is>
      </c>
      <c r="E4" s="53" t="n">
        <v>1226.9</v>
      </c>
      <c r="F4" s="53" t="n">
        <v>14741</v>
      </c>
      <c r="G4" s="52" t="inlineStr">
        <is>
          <t>CB-01</t>
        </is>
      </c>
    </row>
    <row r="5">
      <c r="A5" s="52" t="inlineStr">
        <is>
          <t>CB-11</t>
        </is>
      </c>
      <c r="B5" s="52" t="inlineStr">
        <is>
          <t>Rodante (km/L)</t>
        </is>
      </c>
      <c r="C5" s="52" t="inlineStr"/>
      <c r="D5" s="52" t="inlineStr">
        <is>
          <t>Operando</t>
        </is>
      </c>
      <c r="E5" s="53" t="n">
        <v>1363.2</v>
      </c>
      <c r="F5" s="53" t="n">
        <v>15294</v>
      </c>
      <c r="G5" s="52" t="inlineStr">
        <is>
          <t>CB-11</t>
        </is>
      </c>
    </row>
    <row r="6">
      <c r="A6" s="52" t="inlineStr">
        <is>
          <t>CB-17</t>
        </is>
      </c>
      <c r="B6" s="52" t="inlineStr">
        <is>
          <t>Rodante (km/L)</t>
        </is>
      </c>
      <c r="C6" s="52" t="inlineStr"/>
      <c r="D6" s="52" t="inlineStr">
        <is>
          <t>Operando</t>
        </is>
      </c>
      <c r="E6" s="53" t="n">
        <v>1493</v>
      </c>
      <c r="F6" s="53" t="n">
        <v>16312</v>
      </c>
      <c r="G6" s="52" t="inlineStr">
        <is>
          <t>CB-17</t>
        </is>
      </c>
    </row>
    <row r="7">
      <c r="A7" s="52" t="inlineStr">
        <is>
          <t>CB-22</t>
        </is>
      </c>
      <c r="B7" s="52" t="inlineStr">
        <is>
          <t>Rodante (km/L)</t>
        </is>
      </c>
      <c r="C7" s="52" t="inlineStr"/>
      <c r="D7" s="52" t="inlineStr">
        <is>
          <t>Operando</t>
        </is>
      </c>
      <c r="E7" s="53" t="n">
        <v>1617.1</v>
      </c>
      <c r="F7" s="53" t="n">
        <v>18054</v>
      </c>
      <c r="G7" s="52" t="inlineStr">
        <is>
          <t>CB-22</t>
        </is>
      </c>
    </row>
    <row r="8">
      <c r="A8" s="52" t="inlineStr">
        <is>
          <t>PC-01</t>
        </is>
      </c>
      <c r="B8" s="52" t="inlineStr">
        <is>
          <t>Horímetro (L/h)</t>
        </is>
      </c>
      <c r="C8" s="52" t="inlineStr"/>
      <c r="D8" s="52" t="inlineStr">
        <is>
          <t>Operando</t>
        </is>
      </c>
      <c r="E8" s="53" t="n">
        <v>1748.9</v>
      </c>
      <c r="F8" s="52" t="n">
        <v>11600</v>
      </c>
      <c r="G8" s="52" t="inlineStr">
        <is>
          <t>PC-01</t>
        </is>
      </c>
    </row>
    <row r="9">
      <c r="A9" s="52" t="inlineStr">
        <is>
          <t>PC-02</t>
        </is>
      </c>
      <c r="B9" s="52" t="inlineStr">
        <is>
          <t>Horímetro (L/h)</t>
        </is>
      </c>
      <c r="C9" s="52" t="inlineStr"/>
      <c r="D9" s="52" t="inlineStr">
        <is>
          <t>Manutenção</t>
        </is>
      </c>
      <c r="E9" s="53" t="n">
        <v>1870.5</v>
      </c>
      <c r="F9" s="52" t="n">
        <v>12500</v>
      </c>
      <c r="G9" s="52" t="inlineStr">
        <is>
          <t>PC-02</t>
        </is>
      </c>
    </row>
    <row r="10">
      <c r="A10" s="52" t="inlineStr">
        <is>
          <t>RD-01</t>
        </is>
      </c>
      <c r="B10" s="52" t="inlineStr">
        <is>
          <t>Horímetro (L/h)</t>
        </is>
      </c>
      <c r="C10" s="52" t="inlineStr"/>
      <c r="D10" s="52" t="inlineStr">
        <is>
          <t>Operando</t>
        </is>
      </c>
      <c r="E10" s="53" t="n">
        <v>2010.7</v>
      </c>
      <c r="F10" s="52" t="n">
        <v>13400</v>
      </c>
      <c r="G10" s="52" t="inlineStr">
        <is>
          <t>RD-01</t>
        </is>
      </c>
    </row>
    <row r="11">
      <c r="A11" s="52" t="inlineStr">
        <is>
          <t>MG-01</t>
        </is>
      </c>
      <c r="B11" s="52" t="inlineStr">
        <is>
          <t>Horímetro (L/h)</t>
        </is>
      </c>
      <c r="C11" s="52" t="inlineStr"/>
      <c r="D11" s="52" t="inlineStr">
        <is>
          <t>Operando</t>
        </is>
      </c>
      <c r="E11" s="53" t="n">
        <v>2143.4</v>
      </c>
      <c r="F11" s="52" t="n">
        <v>14300</v>
      </c>
      <c r="G11" s="52" t="inlineStr">
        <is>
          <t>MG-01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4A3B8"/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</cols>
  <sheetData>
    <row r="1">
      <c r="A1" s="50" t="inlineStr">
        <is>
          <t>Operadores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Nome</t>
        </is>
      </c>
      <c r="B3" s="30" t="inlineStr">
        <is>
          <t>Função</t>
        </is>
      </c>
      <c r="C3" s="30" t="inlineStr">
        <is>
          <t>Status</t>
        </is>
      </c>
      <c r="D3" s="30" t="inlineStr">
        <is>
          <t>_id</t>
        </is>
      </c>
    </row>
    <row r="4">
      <c r="A4" s="52" t="inlineStr">
        <is>
          <t>Saulo</t>
        </is>
      </c>
      <c r="B4" s="52" t="inlineStr">
        <is>
          <t>Operador</t>
        </is>
      </c>
      <c r="C4" s="52" t="inlineStr">
        <is>
          <t>Ativo</t>
        </is>
      </c>
      <c r="D4" s="52" t="inlineStr">
        <is>
          <t>Saulo</t>
        </is>
      </c>
    </row>
    <row r="5">
      <c r="A5" s="52" t="inlineStr">
        <is>
          <t>José</t>
        </is>
      </c>
      <c r="B5" s="52" t="inlineStr">
        <is>
          <t>Operador</t>
        </is>
      </c>
      <c r="C5" s="52" t="inlineStr">
        <is>
          <t>Ativo</t>
        </is>
      </c>
      <c r="D5" s="52" t="inlineStr">
        <is>
          <t>José</t>
        </is>
      </c>
    </row>
    <row r="6">
      <c r="A6" s="52" t="inlineStr">
        <is>
          <t>Carlos</t>
        </is>
      </c>
      <c r="B6" s="52" t="inlineStr">
        <is>
          <t>Operador</t>
        </is>
      </c>
      <c r="C6" s="52" t="inlineStr">
        <is>
          <t>Ativo</t>
        </is>
      </c>
      <c r="D6" s="52" t="inlineStr">
        <is>
          <t>Carlos</t>
        </is>
      </c>
    </row>
    <row r="7">
      <c r="A7" s="52" t="inlineStr">
        <is>
          <t>Antônio</t>
        </is>
      </c>
      <c r="B7" s="52" t="inlineStr">
        <is>
          <t>Operador</t>
        </is>
      </c>
      <c r="C7" s="52" t="inlineStr">
        <is>
          <t>Ativo</t>
        </is>
      </c>
      <c r="D7" s="52" t="inlineStr">
        <is>
          <t>Antônio</t>
        </is>
      </c>
    </row>
    <row r="8">
      <c r="A8" s="52" t="inlineStr">
        <is>
          <t>Marcos</t>
        </is>
      </c>
      <c r="B8" s="52" t="inlineStr">
        <is>
          <t>Operador</t>
        </is>
      </c>
      <c r="C8" s="52" t="inlineStr">
        <is>
          <t>Ativo</t>
        </is>
      </c>
      <c r="D8" s="52" t="inlineStr">
        <is>
          <t>Marcos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2026-09-02T18:05:17Z</dcterms:created>
  <dcterms:modified xsi:type="dcterms:W3CDTF">2026-09-02T18:05:18Z</dcterms:modified>
</cp:coreProperties>
</file>